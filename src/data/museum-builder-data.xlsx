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edit" sheetId="1" state="visible" r:id="rId3"/>
    <sheet name="Settings" sheetId="2" state="visible" r:id="rId4"/>
    <sheet name="Items" sheetId="3" state="visible" r:id="rId5"/>
    <sheet name="Personas" sheetId="4" state="visible" r:id="rId6"/>
    <sheet name="Zones" sheetId="5" state="visible" r:id="rId7"/>
    <sheet name="Route" sheetId="6" state="visible" r:id="rId8"/>
    <sheet name="Existing" sheetId="7" state="visible" r:id="rId9"/>
    <sheet name="Scoring" sheetId="8" state="visible" r:id="rId10"/>
    <sheet name="Tex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How much information this item gives a visitor who can use it (0–1). Blank = not an information item.</t>
        </r>
      </text>
    </comment>
    <comment ref="L1" authorId="0">
      <text>
        <r>
          <rPr>
            <sz val="10"/>
            <rFont val="Arial"/>
            <family val="2"/>
          </rPr>
          <t xml:space="preserve">Formula: how many units it would take to place this item everywhere (zones × 1, route segments still missing, or 1 for venue items).</t>
        </r>
      </text>
    </comment>
    <comment ref="N1" authorId="0">
      <text>
        <r>
          <rPr>
            <sz val="10"/>
            <rFont val="Arial"/>
            <family val="2"/>
          </rPr>
          <t xml:space="preserve">Finnish name. Machine-drafted — check with a native speaker. Blank = English shown.</t>
        </r>
      </text>
    </comment>
    <comment ref="O1" authorId="0">
      <text>
        <r>
          <rPr>
            <sz val="10"/>
            <rFont val="Arial"/>
            <family val="2"/>
          </rPr>
          <t xml:space="preserve">Multiplier applied to the info_value of the items listed in 'enhances' when both are in the same zone (result capped at 1.0).</t>
        </r>
      </text>
    </comment>
    <comment ref="Q1" authorId="0">
      <text>
        <r>
          <rPr>
            <sz val="10"/>
            <rFont val="Arial"/>
            <family val="2"/>
          </rPr>
          <t xml:space="preserve">Special role in reach: 'staff_guided' = when usable, zones are reachable with staff help (reach_staff_guided); 'plan_only' = when present, every zone gets reach_plan_only. Leave blank for all other items.</t>
        </r>
      </text>
    </comment>
  </commentList>
</comments>
</file>

<file path=xl/sharedStrings.xml><?xml version="1.0" encoding="utf-8"?>
<sst xmlns="http://schemas.openxmlformats.org/spreadsheetml/2006/main" count="514" uniqueCount="385">
  <si>
    <t xml:space="preserve">Museum Builder — game data</t>
  </si>
  <si>
    <t xml:space="preserve">This workbook is the single source of truth for the game. The game reads it at startup: edit, save, refresh the browser.</t>
  </si>
  <si>
    <t xml:space="preserve">Rules</t>
  </si>
  <si>
    <t xml:space="preserve">1. Blue text = values you can edit. Black text = formulas, do not edit.</t>
  </si>
  <si>
    <t xml:space="preserve">2. Do NOT rename sheets or column headers (row 1). The game looks them up by name.</t>
  </si>
  <si>
    <t xml:space="preserve">3. To add an item/persona/zone: add a new row with a unique id (lowercase, underscores, no spaces).</t>
  </si>
  <si>
    <t xml:space="preserve">4. 'requires' syntax: ids separated by ';' = ALL needed;  ids separated by '|' = ANY one is enough.  Example: route; braille_label|audio_description</t>
  </si>
  <si>
    <t xml:space="preserve">   Special tokens: route = every segment from the entrance to the zone's route_segment exists (Route sheet);  has_screen = the zone has a video screen.</t>
  </si>
  <si>
    <t xml:space="preserve">5. 'reach' = which visitor attribute is needed to benefit (column names of the Personas sheet), or 'all'.</t>
  </si>
  <si>
    <t xml:space="preserve">6. 'status' = placeholder until confirmed by an interview or source; then set to validated and fill 'source'.</t>
  </si>
  <si>
    <t xml:space="preserve">7. After interviews, change numbers here — no code change and no Claude session needed.</t>
  </si>
  <si>
    <t xml:space="preserve">Sheets</t>
  </si>
  <si>
    <t xml:space="preserve">Settings — budget and balance check.   Items — catalogue.   Personas — visitor profiles.   Zones — Postimuseo ground floor.   Route — tactile route as shared segments (each paid once; 'from' = previous segment).   Scoring — model weights.</t>
  </si>
  <si>
    <t xml:space="preserve">Added 29.10.2026</t>
  </si>
  <si>
    <t xml:space="preserve">8. Languages: English is required; Finnish columns (name_fi, Texts.fi) are optional — blank falls back to English. Finnish was machine-drafted: have a native speaker check it and fill validated_by.</t>
  </si>
  <si>
    <t xml:space="preserve">9. enhance_factor (Items): multiplies the info_value of the items listed in 'enhances' in the same zone, capped at 1.0. Used by lighting and reference_numbering.</t>
  </si>
  <si>
    <t xml:space="preserve">10. validated_by (Items, Personas, Route, Texts): who confirmed the row and when, e.g. 'Terhi 05.11.2026' or 'VI reviewer 06.11.2026'. Set status to validated at the same time.</t>
  </si>
  <si>
    <t xml:space="preserve">11. Texts sheet: every on-screen text of the game. {budget} is filled in by the game — keep the braces.</t>
  </si>
  <si>
    <t xml:space="preserve">12. Existing sheet: what the real museum already has (cost €0 for the player). zone_id blank = venue-level.</t>
  </si>
  <si>
    <t xml:space="preserve">13. Zones → exhibits: fill with real exhibit names from the visit (yellow cells). Used in walkthrough texts, e.g. 'the 1950s sorting machine remains unknown'.</t>
  </si>
  <si>
    <t xml:space="preserve">14. Texts → walk_* / ch_* / deb_*: sentences of the walkthrough and debrief. Words in {braces} are filled in by the game.</t>
  </si>
  <si>
    <t xml:space="preserve">15. Items → reach_grant: marks the two items with a special role in reach (staff_guided, plan_only). Do not remove them.</t>
  </si>
  <si>
    <t xml:space="preserve">16. Lighting (29.10): in a zone with lighting, a low-vision visitor gets better text (large-print label), a better view of the exhibit (exhibit_view) and easier paths (Scoring: lighting_reach_factor). Blind visitors get nothing from it.</t>
  </si>
  <si>
    <t xml:space="preserve">setting</t>
  </si>
  <si>
    <t xml:space="preserve">value</t>
  </si>
  <si>
    <t xml:space="preserve">meaning</t>
  </si>
  <si>
    <t xml:space="preserve">budget_eur</t>
  </si>
  <si>
    <t xml:space="preserve">Budget per round. Example value — change freely.</t>
  </si>
  <si>
    <t xml:space="preserve">rounds</t>
  </si>
  <si>
    <t xml:space="preserve">Number of rounds per session</t>
  </si>
  <si>
    <t xml:space="preserve">catalogue_cost_if_everywhere_eur</t>
  </si>
  <si>
    <t xml:space="preserve">Formula: cost of placing every item everywhere</t>
  </si>
  <si>
    <t xml:space="preserve">budget_coverage</t>
  </si>
  <si>
    <t xml:space="preserve">Formula: share of the full catalogue the budget can buy. Aim ~30–50% so trade-offs are forced.</t>
  </si>
  <si>
    <t xml:space="preserve">id</t>
  </si>
  <si>
    <t xml:space="preserve">name</t>
  </si>
  <si>
    <t xml:space="preserve">scope</t>
  </si>
  <si>
    <t xml:space="preserve">channel</t>
  </si>
  <si>
    <t xml:space="preserve">requires</t>
  </si>
  <si>
    <t xml:space="preserve">enhances</t>
  </si>
  <si>
    <t xml:space="preserve">reach</t>
  </si>
  <si>
    <t xml:space="preserve">info_value</t>
  </si>
  <si>
    <t xml:space="preserve">cost_eur</t>
  </si>
  <si>
    <t xml:space="preserve">status</t>
  </si>
  <si>
    <t xml:space="preserve">source</t>
  </si>
  <si>
    <t xml:space="preserve">units_if_everywhere</t>
  </si>
  <si>
    <t xml:space="preserve">cost_if_everywhere_eur</t>
  </si>
  <si>
    <t xml:space="preserve">name_fi</t>
  </si>
  <si>
    <t xml:space="preserve">enhance_factor</t>
  </si>
  <si>
    <t xml:space="preserve">validated_by</t>
  </si>
  <si>
    <t xml:space="preserve">reach_grant</t>
  </si>
  <si>
    <t xml:space="preserve">tactile_route</t>
  </si>
  <si>
    <t xml:space="preserve">Tactile floor route (per segment)</t>
  </si>
  <si>
    <t xml:space="preserve">path</t>
  </si>
  <si>
    <t xml:space="preserve">tactile</t>
  </si>
  <si>
    <t xml:space="preserve">all</t>
  </si>
  <si>
    <t xml:space="preserve">placeholder</t>
  </si>
  <si>
    <t xml:space="preserve">Smithsonian Guidelines: circulation route well lit, clearly defined, easy to follow</t>
  </si>
  <si>
    <t xml:space="preserve">Kohokuvioitu opaslinja (osuus)</t>
  </si>
  <si>
    <t xml:space="preserve">braille_label</t>
  </si>
  <si>
    <t xml:space="preserve">Braille label</t>
  </si>
  <si>
    <t xml:space="preserve">zone</t>
  </si>
  <si>
    <t xml:space="preserve">braille</t>
  </si>
  <si>
    <t xml:space="preserve">route</t>
  </si>
  <si>
    <t xml:space="preserve">readsBraille</t>
  </si>
  <si>
    <t xml:space="preserve">Smithsonian: labels in consistent, predictable locations; Terhi: braille reaches only a fraction of VI visitors</t>
  </si>
  <si>
    <t xml:space="preserve">Pistekirjoitusteksti</t>
  </si>
  <si>
    <t xml:space="preserve">large_print_label</t>
  </si>
  <si>
    <t xml:space="preserve">Large-print, high-contrast label</t>
  </si>
  <si>
    <t xml:space="preserve">visual_enhanced</t>
  </si>
  <si>
    <t xml:space="preserve">residualVision</t>
  </si>
  <si>
    <t xml:space="preserve">Smithsonian: minimise glare for legibility; Terhi: font size, font, contrast</t>
  </si>
  <si>
    <t xml:space="preserve">Isokirjaiminen, kontrastinen teksti</t>
  </si>
  <si>
    <t xml:space="preserve">audio_description</t>
  </si>
  <si>
    <t xml:space="preserve">Audio description (content, per zone)</t>
  </si>
  <si>
    <t xml:space="preserve">audio</t>
  </si>
  <si>
    <t xml:space="preserve">audio_guide_devices|smartphone_audio</t>
  </si>
  <si>
    <t xml:space="preserve">Smithsonian: audio description incl. label text; Terhi: audio beats braille</t>
  </si>
  <si>
    <t xml:space="preserve">Kuvailutulkkaus (ääni, kohdekohtainen)</t>
  </si>
  <si>
    <t xml:space="preserve">audio_guide_devices</t>
  </si>
  <si>
    <t xml:space="preserve">Audio guide devices (venue)</t>
  </si>
  <si>
    <t xml:space="preserve">venue</t>
  </si>
  <si>
    <t xml:space="preserve">Smithsonian: equipment available and signposted at entrance; Terhi: most common tool in Helsinki museums</t>
  </si>
  <si>
    <t xml:space="preserve">Audio-opaslaitteet</t>
  </si>
  <si>
    <t xml:space="preserve">smartphone_audio</t>
  </si>
  <si>
    <t xml:space="preserve">Smartphone audio via QR/NFC + Wi-Fi (venue)</t>
  </si>
  <si>
    <t xml:space="preserve">usesSmartphone</t>
  </si>
  <si>
    <t xml:space="preserve">Terhi: visitors with smartphones use apps (e.g. Be My Eyes)</t>
  </si>
  <si>
    <t xml:space="preserve">Ääniopastus älypuhelimeen (QR/NFC)</t>
  </si>
  <si>
    <t xml:space="preserve">tactile_replica</t>
  </si>
  <si>
    <t xml:space="preserve">Tactile replica</t>
  </si>
  <si>
    <t xml:space="preserve">route; braille_label|audio_description</t>
  </si>
  <si>
    <t xml:space="preserve">comfortableWithTouch</t>
  </si>
  <si>
    <t xml:space="preserve">Smithsonian: touch + audio description; Terhi: touch must be complementary, not everyone is comfortable touching</t>
  </si>
  <si>
    <t xml:space="preserve">Kosketeltava jäljennös</t>
  </si>
  <si>
    <t xml:space="preserve">touch_permission</t>
  </si>
  <si>
    <t xml:space="preserve">Touch permission on originals</t>
  </si>
  <si>
    <t xml:space="preserve">staff_training</t>
  </si>
  <si>
    <t xml:space="preserve">assumption (needs conservation approval)</t>
  </si>
  <si>
    <t xml:space="preserve">Kosketuslupa alkuperäisiin</t>
  </si>
  <si>
    <t xml:space="preserve">lighting</t>
  </si>
  <si>
    <t xml:space="preserve">Lighting upgrade</t>
  </si>
  <si>
    <t xml:space="preserve">large_print_label; exhibit_view</t>
  </si>
  <si>
    <t xml:space="preserve">Smithsonian circulation-route guideline; also affects low-vision reach (Scoring: lighting_reach_factor). Team decision 29.10.2026: lighting matters for text, exhibits and paths</t>
  </si>
  <si>
    <t xml:space="preserve">Valaistuksen parannus</t>
  </si>
  <si>
    <t xml:space="preserve">seating</t>
  </si>
  <si>
    <t xml:space="preserve">Seating</t>
  </si>
  <si>
    <t xml:space="preserve">assumption</t>
  </si>
  <si>
    <t xml:space="preserve">Istuimet</t>
  </si>
  <si>
    <t xml:space="preserve">Staff training (venue)</t>
  </si>
  <si>
    <t xml:space="preserve">human</t>
  </si>
  <si>
    <t xml:space="preserve">Fortuna et al. (2023): insufficient staff training is a key barrier</t>
  </si>
  <si>
    <t xml:space="preserve">Henkilökunnan koulutus</t>
  </si>
  <si>
    <t xml:space="preserve">guided_touch_tour</t>
  </si>
  <si>
    <t xml:space="preserve">Guided touch tour (scheduled times only)</t>
  </si>
  <si>
    <t xml:space="preserve">staff_training; tactile_replica|touch_permission</t>
  </si>
  <si>
    <t xml:space="preserve">Argyropoulos &amp; Kanari (2015); Terhi: guided tours only at certain times</t>
  </si>
  <si>
    <t xml:space="preserve">Opastettu kosketuskierros</t>
  </si>
  <si>
    <t xml:space="preserve">staff_guided</t>
  </si>
  <si>
    <t xml:space="preserve">audio_described_video</t>
  </si>
  <si>
    <t xml:space="preserve">Audio-described video</t>
  </si>
  <si>
    <t xml:space="preserve">has_screen; audio_guide_devices|smartphone_audio</t>
  </si>
  <si>
    <t xml:space="preserve">Terhi: films with simultaneous audio description work well</t>
  </si>
  <si>
    <t xml:space="preserve">Kuvailutulkattu video</t>
  </si>
  <si>
    <t xml:space="preserve">large_print_catalogue</t>
  </si>
  <si>
    <t xml:space="preserve">Large-print take-away catalogue (venue)</t>
  </si>
  <si>
    <t xml:space="preserve">Terhi: take-away catalogues — readable font size and materials</t>
  </si>
  <si>
    <t xml:space="preserve">Isokirjaiminen esite</t>
  </si>
  <si>
    <t xml:space="preserve">braille_catalogue</t>
  </si>
  <si>
    <t xml:space="preserve">Braille catalogue (venue)</t>
  </si>
  <si>
    <t xml:space="preserve">Terhi: expensive and still excludes most VI visitors</t>
  </si>
  <si>
    <t xml:space="preserve">Pistekirjoitusesite</t>
  </si>
  <si>
    <t xml:space="preserve">website_info</t>
  </si>
  <si>
    <t xml:space="preserve">Accessible pre-visit website info (venue)</t>
  </si>
  <si>
    <t xml:space="preserve">digital</t>
  </si>
  <si>
    <t xml:space="preserve">Argyropoulos &amp; Kanari (2015): websites facilitate or hinder access</t>
  </si>
  <si>
    <t xml:space="preserve">Saavutettava ennakkotieto verkkosivuilla</t>
  </si>
  <si>
    <t xml:space="preserve">robot_guide</t>
  </si>
  <si>
    <t xml:space="preserve">Conversational AI robot guide (venue)</t>
  </si>
  <si>
    <t xml:space="preserve">Terhi interview notes (ambiguous: 'high cost low value') — validate</t>
  </si>
  <si>
    <t xml:space="preserve">Keskusteleva tekoälyrobottiopas</t>
  </si>
  <si>
    <t xml:space="preserve">visitor_wifi</t>
  </si>
  <si>
    <t xml:space="preserve">Visitor Wi-Fi (venue)</t>
  </si>
  <si>
    <t xml:space="preserve">Terhi: visitors use their own AI apps (e.g. Be My Eyes) — they need connectivity</t>
  </si>
  <si>
    <t xml:space="preserve">Vierailijoiden Wi-Fi</t>
  </si>
  <si>
    <t xml:space="preserve">camera_readable_label</t>
  </si>
  <si>
    <t xml:space="preserve">Camera-readable label (for visitors' AI apps)</t>
  </si>
  <si>
    <t xml:space="preserve">Terhi: smartphone users point Be My Eyes / AI apps at labels and objects</t>
  </si>
  <si>
    <t xml:space="preserve">Sovelluksella luettava teksti</t>
  </si>
  <si>
    <t xml:space="preserve">reference_numbering</t>
  </si>
  <si>
    <t xml:space="preserve">Clear numbering linking object, label and audio</t>
  </si>
  <si>
    <t xml:space="preserve">audio_description; braille_label; large_print_label</t>
  </si>
  <si>
    <t xml:space="preserve">Terhi: clear references to descriptions (cognitive accessibility)</t>
  </si>
  <si>
    <t xml:space="preserve">Selkeä numerointi (kohde–teksti–ääni)</t>
  </si>
  <si>
    <t xml:space="preserve">tactile_floor_plan</t>
  </si>
  <si>
    <t xml:space="preserve">Tactile floor plan at entrance (braille + raised lines)</t>
  </si>
  <si>
    <t xml:space="preserve">Seen at Postimuseo visit 26.10.2026 (photo IMG_3967); Smithsonian: give the big picture up front</t>
  </si>
  <si>
    <t xml:space="preserve">Kohokartta sisäänkäynnillä</t>
  </si>
  <si>
    <t xml:space="preserve">plan_only</t>
  </si>
  <si>
    <t xml:space="preserve">exhibit_view</t>
  </si>
  <si>
    <t xml:space="preserve">Exhibit itself can be looked at (existing display)</t>
  </si>
  <si>
    <t xml:space="preserve">visual</t>
  </si>
  <si>
    <t xml:space="preserve">assumption — low-vision visitors get some information from seeing the object; lighting improves it. VALIDATE with VI reviewer</t>
  </si>
  <si>
    <t xml:space="preserve">Esinettä voi katsoa (olemassa oleva esillepano)</t>
  </si>
  <si>
    <t xml:space="preserve">visitorShare</t>
  </si>
  <si>
    <t xml:space="preserve">blind_non_braille</t>
  </si>
  <si>
    <t xml:space="preserve">Blind, does not read braille</t>
  </si>
  <si>
    <t xml:space="preserve">Terhi: braille only reaches a fragment of VI people</t>
  </si>
  <si>
    <t xml:space="preserve">Sokea, ei lue pistekirjoitusta</t>
  </si>
  <si>
    <t xml:space="preserve">blind_braille</t>
  </si>
  <si>
    <t xml:space="preserve">Blind, reads braille</t>
  </si>
  <si>
    <t xml:space="preserve">Sokea, lukee pistekirjoitusta</t>
  </si>
  <si>
    <t xml:space="preserve">low_vision</t>
  </si>
  <si>
    <t xml:space="preserve">Low vision</t>
  </si>
  <si>
    <t xml:space="preserve">Terhi: font size, contrast; not everyone is comfortable touching</t>
  </si>
  <si>
    <t xml:space="preserve">Heikkonäköinen</t>
  </si>
  <si>
    <t xml:space="preserve">Total share (should be 100%)</t>
  </si>
  <si>
    <t xml:space="preserve">name_en</t>
  </si>
  <si>
    <t xml:space="preserve">has_screen</t>
  </si>
  <si>
    <t xml:space="preserve">exhibit_objects</t>
  </si>
  <si>
    <t xml:space="preserve">route_segment</t>
  </si>
  <si>
    <t xml:space="preserve">notes</t>
  </si>
  <si>
    <t xml:space="preserve">exhibits (names, ';'-separated)</t>
  </si>
  <si>
    <t xml:space="preserve">exhibits_fi</t>
  </si>
  <si>
    <t xml:space="preserve">viestinta</t>
  </si>
  <si>
    <t xml:space="preserve">Viestintä</t>
  </si>
  <si>
    <t xml:space="preserve">Communication</t>
  </si>
  <si>
    <t xml:space="preserve">s1</t>
  </si>
  <si>
    <t xml:space="preserve">alypuhelin</t>
  </si>
  <si>
    <t xml:space="preserve">Älypuhelin</t>
  </si>
  <si>
    <t xml:space="preserve">Smartphone</t>
  </si>
  <si>
    <t xml:space="preserve">s2</t>
  </si>
  <si>
    <t xml:space="preserve">verkot</t>
  </si>
  <si>
    <t xml:space="preserve">Verkot</t>
  </si>
  <si>
    <t xml:space="preserve">Networks</t>
  </si>
  <si>
    <t xml:space="preserve">s3</t>
  </si>
  <si>
    <t xml:space="preserve">kirjeet_paketit</t>
  </si>
  <si>
    <t xml:space="preserve">Kirjeet ja paketit</t>
  </si>
  <si>
    <t xml:space="preserve">Letters and parcels</t>
  </si>
  <si>
    <t xml:space="preserve">s7</t>
  </si>
  <si>
    <t xml:space="preserve">lajittelu</t>
  </si>
  <si>
    <t xml:space="preserve">Lajittelu</t>
  </si>
  <si>
    <t xml:space="preserve">Sorting</t>
  </si>
  <si>
    <t xml:space="preserve">s6</t>
  </si>
  <si>
    <t xml:space="preserve">Existing seating nearby</t>
  </si>
  <si>
    <t xml:space="preserve">historia</t>
  </si>
  <si>
    <t xml:space="preserve">Historia ja nykypäivä</t>
  </si>
  <si>
    <t xml:space="preserve">History and present day</t>
  </si>
  <si>
    <t xml:space="preserve">s5</t>
  </si>
  <si>
    <t xml:space="preserve">segment_id</t>
  </si>
  <si>
    <t xml:space="preserve">from</t>
  </si>
  <si>
    <t xml:space="preserve">description</t>
  </si>
  <si>
    <t xml:space="preserve">existing</t>
  </si>
  <si>
    <t xml:space="preserve">entrance</t>
  </si>
  <si>
    <t xml:space="preserve">Entrance hall → Viestintä (south room)</t>
  </si>
  <si>
    <t xml:space="preserve">Dashed guidance line on tactile plan — verify with Olli</t>
  </si>
  <si>
    <t xml:space="preserve">Viestintä → Älypuhelin island</t>
  </si>
  <si>
    <t xml:space="preserve">Verify</t>
  </si>
  <si>
    <t xml:space="preserve">Älypuhelin → Verkot</t>
  </si>
  <si>
    <t xml:space="preserve">s4</t>
  </si>
  <si>
    <t xml:space="preserve">Verkot → east corridor junction</t>
  </si>
  <si>
    <t xml:space="preserve">Junction → Historia ja nykypäivä</t>
  </si>
  <si>
    <t xml:space="preserve">Historia → Lajittelu</t>
  </si>
  <si>
    <t xml:space="preserve">Lajittelu → Kirjeet ja paketit</t>
  </si>
  <si>
    <t xml:space="preserve">item_id</t>
  </si>
  <si>
    <t xml:space="preserve">zone_id</t>
  </si>
  <si>
    <t xml:space="preserve">At entrance (venue-level). Seen on visit 26.10.</t>
  </si>
  <si>
    <t xml:space="preserve">Seating area next to Lajittelu on the tactile plan</t>
  </si>
  <si>
    <t xml:space="preserve">Baseline: the object can be looked at. Assumption to validate.</t>
  </si>
  <si>
    <t xml:space="preserve">parameter</t>
  </si>
  <si>
    <t xml:space="preserve">reach_full</t>
  </si>
  <si>
    <t xml:space="preserve">Zone reachable by continuous tactile route from the entrance</t>
  </si>
  <si>
    <t xml:space="preserve">reach_staff_guided</t>
  </si>
  <si>
    <t xml:space="preserve">Reachable only with staff help (needs staff_training + guided_touch_tour)</t>
  </si>
  <si>
    <t xml:space="preserve">reach_plan_only</t>
  </si>
  <si>
    <t xml:space="preserve">Only the entrance floor plan orients the visitor</t>
  </si>
  <si>
    <t xml:space="preserve">richness_per_extra_channel</t>
  </si>
  <si>
    <t xml:space="preserve">Bonus per additional distinct usable channel in a zone</t>
  </si>
  <si>
    <t xml:space="preserve">richness_cap</t>
  </si>
  <si>
    <t xml:space="preserve">Maximum richness bonus</t>
  </si>
  <si>
    <t xml:space="preserve">min_channels_full_value</t>
  </si>
  <si>
    <t xml:space="preserve">Channels a persona needs in a zone for full value (multimodal redundancy)</t>
  </si>
  <si>
    <t xml:space="preserve">single_channel_penalty</t>
  </si>
  <si>
    <t xml:space="preserve">Multiplier when a persona has only one usable channel in a zone</t>
  </si>
  <si>
    <t xml:space="preserve">lighting_reach_factor</t>
  </si>
  <si>
    <t xml:space="preserve">Multiplier on reach for visitors with residual vision in a zone that has lighting (capped at 1.0): lit paths are easier to follow</t>
  </si>
  <si>
    <t xml:space="preserve">key</t>
  </si>
  <si>
    <t xml:space="preserve">en</t>
  </si>
  <si>
    <t xml:space="preserve">fi</t>
  </si>
  <si>
    <t xml:space="preserve">app_title</t>
  </si>
  <si>
    <t xml:space="preserve">Museum Builder</t>
  </si>
  <si>
    <t xml:space="preserve">Museorakentaja</t>
  </si>
  <si>
    <t xml:space="preserve">challenge</t>
  </si>
  <si>
    <t xml:space="preserve">You have {budget} to make this exhibition work for visitors with visual impairment.</t>
  </si>
  <si>
    <t xml:space="preserve">Sinulla on {budget}, jotta näyttely toimisi näkövammaisille kävijöille.</t>
  </si>
  <si>
    <t xml:space="preserve">budget</t>
  </si>
  <si>
    <t xml:space="preserve">Budget</t>
  </si>
  <si>
    <t xml:space="preserve">Budjetti</t>
  </si>
  <si>
    <t xml:space="preserve">remaining</t>
  </si>
  <si>
    <t xml:space="preserve">Remaining</t>
  </si>
  <si>
    <t xml:space="preserve">Jäljellä</t>
  </si>
  <si>
    <t xml:space="preserve">catalogue</t>
  </si>
  <si>
    <t xml:space="preserve">Catalogue</t>
  </si>
  <si>
    <t xml:space="preserve">Valikoima</t>
  </si>
  <si>
    <t xml:space="preserve">room_view</t>
  </si>
  <si>
    <t xml:space="preserve">Room (text view)</t>
  </si>
  <si>
    <t xml:space="preserve">Huone (tekstinäkymä)</t>
  </si>
  <si>
    <t xml:space="preserve">place</t>
  </si>
  <si>
    <t xml:space="preserve">Place</t>
  </si>
  <si>
    <t xml:space="preserve">Sijoita</t>
  </si>
  <si>
    <t xml:space="preserve">remove</t>
  </si>
  <si>
    <t xml:space="preserve">Remove</t>
  </si>
  <si>
    <t xml:space="preserve">Poista</t>
  </si>
  <si>
    <t xml:space="preserve">Needs</t>
  </si>
  <si>
    <t xml:space="preserve">Vaatii</t>
  </si>
  <si>
    <t xml:space="preserve">helps</t>
  </si>
  <si>
    <t xml:space="preserve">Helps</t>
  </si>
  <si>
    <t xml:space="preserve">Auttaa</t>
  </si>
  <si>
    <t xml:space="preserve">cost</t>
  </si>
  <si>
    <t xml:space="preserve">Cost</t>
  </si>
  <si>
    <t xml:space="preserve">Hinta</t>
  </si>
  <si>
    <t xml:space="preserve">Zone</t>
  </si>
  <si>
    <t xml:space="preserve">Alue</t>
  </si>
  <si>
    <t xml:space="preserve">persona</t>
  </si>
  <si>
    <t xml:space="preserve">Visitor</t>
  </si>
  <si>
    <t xml:space="preserve">Kävijä</t>
  </si>
  <si>
    <t xml:space="preserve">open_museum</t>
  </si>
  <si>
    <t xml:space="preserve">Open the museum</t>
  </si>
  <si>
    <t xml:space="preserve">Avaa museo</t>
  </si>
  <si>
    <t xml:space="preserve">walkthrough</t>
  </si>
  <si>
    <t xml:space="preserve">Visit walkthrough</t>
  </si>
  <si>
    <t xml:space="preserve">Vierailun kulku</t>
  </si>
  <si>
    <t xml:space="preserve">not_reachable</t>
  </si>
  <si>
    <t xml:space="preserve">Cannot reach this zone independently.</t>
  </si>
  <si>
    <t xml:space="preserve">Ei pääse tälle alueelle itsenäisesti.</t>
  </si>
  <si>
    <t xml:space="preserve">debrief</t>
  </si>
  <si>
    <t xml:space="preserve">Debrief</t>
  </si>
  <si>
    <t xml:space="preserve">Yhteenveto</t>
  </si>
  <si>
    <t xml:space="preserve">left_out</t>
  </si>
  <si>
    <t xml:space="preserve">Who was left out</t>
  </si>
  <si>
    <t xml:space="preserve">Kuka jäi ulkopuolelle</t>
  </si>
  <si>
    <t xml:space="preserve">access_achieved</t>
  </si>
  <si>
    <t xml:space="preserve">Access achieved</t>
  </si>
  <si>
    <t xml:space="preserve">Saavutettu saavutettavuus</t>
  </si>
  <si>
    <t xml:space="preserve">money_efficiency</t>
  </si>
  <si>
    <t xml:space="preserve">Money efficiency</t>
  </si>
  <si>
    <t xml:space="preserve">Rahan käytön tehokkuus</t>
  </si>
  <si>
    <t xml:space="preserve">benchmark</t>
  </si>
  <si>
    <t xml:space="preserve">Benchmark plan (same spend)</t>
  </si>
  <si>
    <t xml:space="preserve">Vertailusuunnitelma (sama summa)</t>
  </si>
  <si>
    <t xml:space="preserve">inactive_items</t>
  </si>
  <si>
    <t xml:space="preserve">Items that do not work yet</t>
  </si>
  <si>
    <t xml:space="preserve">Kohteet, jotka eivät vielä toimi</t>
  </si>
  <si>
    <t xml:space="preserve">round</t>
  </si>
  <si>
    <t xml:space="preserve">Round</t>
  </si>
  <si>
    <t xml:space="preserve">Kierros</t>
  </si>
  <si>
    <t xml:space="preserve">next_round</t>
  </si>
  <si>
    <t xml:space="preserve">Start next round</t>
  </si>
  <si>
    <t xml:space="preserve">Aloita seuraava kierros</t>
  </si>
  <si>
    <t xml:space="preserve">export_log</t>
  </si>
  <si>
    <t xml:space="preserve">Export session log</t>
  </si>
  <si>
    <t xml:space="preserve">Vie istunnon loki</t>
  </si>
  <si>
    <t xml:space="preserve">language</t>
  </si>
  <si>
    <t xml:space="preserve">Language</t>
  </si>
  <si>
    <t xml:space="preserve">Kieli</t>
  </si>
  <si>
    <t xml:space="preserve">model_disclaimer</t>
  </si>
  <si>
    <t xml:space="preserve">The visitors in this game are a simplified model, not lived experience.</t>
  </si>
  <si>
    <t xml:space="preserve">Pelin kävijät ovat yksinkertaistettu malli, eivät todellista kokemusta.</t>
  </si>
  <si>
    <t xml:space="preserve">walk_enter</t>
  </si>
  <si>
    <t xml:space="preserve">{persona} enters the museum.</t>
  </si>
  <si>
    <t xml:space="preserve">{persona} saapuu museoon.</t>
  </si>
  <si>
    <t xml:space="preserve">walk_plan</t>
  </si>
  <si>
    <t xml:space="preserve">At the entrance, the tactile floor plan gives an overview of the exhibition.</t>
  </si>
  <si>
    <t xml:space="preserve">Sisäänkäynnillä kohokartta antaa yleiskuvan näyttelystä.</t>
  </si>
  <si>
    <t xml:space="preserve">walk_reach_route</t>
  </si>
  <si>
    <t xml:space="preserve">Follows the tactile route to {zone}.</t>
  </si>
  <si>
    <t xml:space="preserve">Seuraa opaslinjaa alueelle {zone}.</t>
  </si>
  <si>
    <t xml:space="preserve">walk_reach_staff</t>
  </si>
  <si>
    <t xml:space="preserve">Reaches {zone} only with the help of staff.</t>
  </si>
  <si>
    <t xml:space="preserve">Pääsee alueelle {zone} vain henkilökunnan avulla.</t>
  </si>
  <si>
    <t xml:space="preserve">walk_reach_plan</t>
  </si>
  <si>
    <t xml:space="preserve">Knows {zone} exists from the floor plan, but cannot find it alone.</t>
  </si>
  <si>
    <t xml:space="preserve">Tietää kartasta, että {zone} on olemassa, mutta ei löydä sinne yksin.</t>
  </si>
  <si>
    <t xml:space="preserve">walk_info</t>
  </si>
  <si>
    <t xml:space="preserve">At {zone}: {channels}.</t>
  </si>
  <si>
    <t xml:space="preserve">Alueella {zone}: {channels}.</t>
  </si>
  <si>
    <t xml:space="preserve">walk_no_info</t>
  </si>
  <si>
    <t xml:space="preserve">At {zone}: nothing they can use. {exhibits} remain unknown.</t>
  </si>
  <si>
    <t xml:space="preserve">Alueella {zone}: ei mitään käytettävää. {exhibits} jäävät tuntemattomiksi.</t>
  </si>
  <si>
    <t xml:space="preserve">walk_one_channel</t>
  </si>
  <si>
    <t xml:space="preserve">Only one way to experience {zone}; if it does not suit them, nothing is left.</t>
  </si>
  <si>
    <t xml:space="preserve">Alueen {zone} voi kokea vain yhdellä tavalla; jos se ei sovi, mitään ei jää.</t>
  </si>
  <si>
    <t xml:space="preserve">walk_inactive</t>
  </si>
  <si>
    <t xml:space="preserve">{item} is here but does not work: it needs {missing}.</t>
  </si>
  <si>
    <t xml:space="preserve">{item} on täällä, mutta ei toimi: se vaatii {missing}.</t>
  </si>
  <si>
    <t xml:space="preserve">walk_end</t>
  </si>
  <si>
    <t xml:space="preserve">Leaves after experiencing {n} of {total} zones.</t>
  </si>
  <si>
    <t xml:space="preserve">Lähtee koettuaan {n}/{total} aluetta.</t>
  </si>
  <si>
    <t xml:space="preserve">ch_audio</t>
  </si>
  <si>
    <t xml:space="preserve">hears an audio description</t>
  </si>
  <si>
    <t xml:space="preserve">kuulee kuvailutulkkauksen</t>
  </si>
  <si>
    <t xml:space="preserve">ch_braille</t>
  </si>
  <si>
    <t xml:space="preserve">reads the braille label</t>
  </si>
  <si>
    <t xml:space="preserve">lukee pistekirjoitustekstin</t>
  </si>
  <si>
    <t xml:space="preserve">ch_tactile</t>
  </si>
  <si>
    <t xml:space="preserve">touches the object</t>
  </si>
  <si>
    <t xml:space="preserve">koskettelee kohdetta</t>
  </si>
  <si>
    <t xml:space="preserve">ch_visual_enhanced</t>
  </si>
  <si>
    <t xml:space="preserve">reads the large-print label</t>
  </si>
  <si>
    <t xml:space="preserve">lukee isokirjaimisen tekstin</t>
  </si>
  <si>
    <t xml:space="preserve">ch_human</t>
  </si>
  <si>
    <t xml:space="preserve">is guided by staff</t>
  </si>
  <si>
    <t xml:space="preserve">henkilökunta opastaa</t>
  </si>
  <si>
    <t xml:space="preserve">deb_inactive_total</t>
  </si>
  <si>
    <t xml:space="preserve">{amount} was spent on items that do not work yet.</t>
  </si>
  <si>
    <t xml:space="preserve">{amount} käytettiin kohteisiin, jotka eivät vielä toimi.</t>
  </si>
  <si>
    <t xml:space="preserve">deb_benchmark_diff</t>
  </si>
  <si>
    <t xml:space="preserve">The benchmark plan spent {amount} on {item} instead of {other}.</t>
  </si>
  <si>
    <t xml:space="preserve">Vertailusuunnitelma käytti {amount} kohteeseen {item} kohteen {other} sijaan.</t>
  </si>
  <si>
    <t xml:space="preserve">deb_item_value</t>
  </si>
  <si>
    <t xml:space="preserve">{item}: {cost}, helped {n} of {total} visitor types, {points} access points.</t>
  </si>
  <si>
    <t xml:space="preserve">{item}: {cost}, auttoi {n}/{total} kävijätyyppiä, {points} saavutettavuuspistettä.</t>
  </si>
  <si>
    <t xml:space="preserve">ch_visual</t>
  </si>
  <si>
    <t xml:space="preserve">looks at the exhibit</t>
  </si>
  <si>
    <t xml:space="preserve">katsoo esinettä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</si>
</sst>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€#,##0"/>
    <numFmt numFmtId="166" formatCode="0%"/>
    <numFmt numFmtId="167" formatCode="General"/>
    <numFmt numFmtId="168" formatCode="\€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A3A3A"/>
        <bgColor rgb="FF33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.75" hidden="false" customHeight="true" outlineLevel="0" collapsed="false">
      <c r="A4" s="2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 t="s">
        <v>10</v>
      </c>
    </row>
    <row r="13" customFormat="false" ht="15" hidden="false" customHeight="true" outlineLevel="0" collapsed="false">
      <c r="A13" s="3"/>
    </row>
    <row r="14" customFormat="false" ht="15.75" hidden="false" customHeight="true" outlineLevel="0" collapsed="false">
      <c r="A14" s="2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  <row r="24" customFormat="false" ht="15" hidden="false" customHeight="true" outlineLevel="0" collapsed="false">
      <c r="A24" s="3" t="s">
        <v>20</v>
      </c>
    </row>
    <row r="25" customFormat="false" ht="15" hidden="false" customHeight="false" outlineLevel="0" collapsed="false">
      <c r="A25" s="5" t="s">
        <v>21</v>
      </c>
    </row>
    <row r="26" customFormat="false" ht="15" hidden="false" customHeight="false" outlineLevel="0" collapsed="false">
      <c r="A26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90"/>
  </cols>
  <sheetData>
    <row r="1" customFormat="false" ht="15" hidden="false" customHeight="true" outlineLevel="0" collapsed="false">
      <c r="A1" s="6" t="s">
        <v>23</v>
      </c>
      <c r="B1" s="6" t="s">
        <v>24</v>
      </c>
      <c r="C1" s="6" t="s">
        <v>25</v>
      </c>
    </row>
    <row r="2" customFormat="false" ht="15" hidden="false" customHeight="true" outlineLevel="0" collapsed="false">
      <c r="A2" s="7" t="s">
        <v>26</v>
      </c>
      <c r="B2" s="8" t="n">
        <v>10000</v>
      </c>
      <c r="C2" s="7" t="s">
        <v>27</v>
      </c>
    </row>
    <row r="3" customFormat="false" ht="15" hidden="false" customHeight="true" outlineLevel="0" collapsed="false">
      <c r="A3" s="7" t="s">
        <v>28</v>
      </c>
      <c r="B3" s="7" t="n">
        <v>2</v>
      </c>
      <c r="C3" s="7" t="s">
        <v>29</v>
      </c>
    </row>
    <row r="4" customFormat="false" ht="15" hidden="false" customHeight="true" outlineLevel="0" collapsed="false">
      <c r="A4" s="7" t="s">
        <v>30</v>
      </c>
      <c r="B4" s="9" t="n">
        <f aca="false">SUM(Items!M2:M200)</f>
        <v>27020</v>
      </c>
      <c r="C4" s="7" t="s">
        <v>31</v>
      </c>
    </row>
    <row r="5" customFormat="false" ht="15" hidden="false" customHeight="true" outlineLevel="0" collapsed="false">
      <c r="A5" s="7" t="s">
        <v>32</v>
      </c>
      <c r="B5" s="10" t="n">
        <f aca="false">IFERROR(B2/B4,0)</f>
        <v>0.370096225018505</v>
      </c>
      <c r="C5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9"/>
    <col collapsed="false" customWidth="true" hidden="false" outlineLevel="0" max="4" min="4" style="1" width="15"/>
    <col collapsed="false" customWidth="true" hidden="false" outlineLevel="0" max="5" min="5" style="1" width="40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9" min="8" style="1" width="10"/>
    <col collapsed="false" customWidth="true" hidden="false" outlineLevel="0" max="10" min="10" style="1" width="12"/>
    <col collapsed="false" customWidth="true" hidden="false" outlineLevel="0" max="11" min="11" style="1" width="70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38"/>
    <col collapsed="false" customWidth="true" hidden="false" outlineLevel="0" max="15" min="15" style="1" width="14"/>
    <col collapsed="false" customWidth="true" hidden="false" outlineLevel="0" max="16" min="16" style="1" width="22"/>
    <col collapsed="false" customWidth="true" hidden="false" outlineLevel="0" max="17" min="17" style="0" width="16"/>
  </cols>
  <sheetData>
    <row r="1" customFormat="false" ht="26.25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  <c r="N1" s="11" t="s">
        <v>47</v>
      </c>
      <c r="O1" s="11" t="s">
        <v>48</v>
      </c>
      <c r="P1" s="11" t="s">
        <v>49</v>
      </c>
      <c r="Q1" s="12" t="s">
        <v>50</v>
      </c>
    </row>
    <row r="2" customFormat="false" ht="26.25" hidden="false" customHeight="true" outlineLevel="0" collapsed="false">
      <c r="A2" s="7" t="s">
        <v>51</v>
      </c>
      <c r="B2" s="7" t="s">
        <v>52</v>
      </c>
      <c r="C2" s="7" t="s">
        <v>53</v>
      </c>
      <c r="D2" s="7" t="s">
        <v>54</v>
      </c>
      <c r="E2" s="7"/>
      <c r="F2" s="7"/>
      <c r="G2" s="7" t="s">
        <v>55</v>
      </c>
      <c r="H2" s="7"/>
      <c r="I2" s="13" t="n">
        <v>300</v>
      </c>
      <c r="J2" s="7" t="s">
        <v>56</v>
      </c>
      <c r="K2" s="7" t="s">
        <v>57</v>
      </c>
      <c r="L2" s="14" t="n">
        <f aca="false">IF(C2="zone",COUNTA(Zones!$A$2:$A$50),IF(C2="path",COUNTIF(Route!$D$2:$D$100,FALSE()),1))</f>
        <v>4</v>
      </c>
      <c r="M2" s="9" t="n">
        <f aca="false">I2*L2</f>
        <v>1200</v>
      </c>
      <c r="N2" s="7" t="s">
        <v>58</v>
      </c>
    </row>
    <row r="3" customFormat="false" ht="26.25" hidden="false" customHeight="true" outlineLevel="0" collapsed="false">
      <c r="A3" s="7" t="s">
        <v>59</v>
      </c>
      <c r="B3" s="7" t="s">
        <v>60</v>
      </c>
      <c r="C3" s="7" t="s">
        <v>61</v>
      </c>
      <c r="D3" s="7" t="s">
        <v>62</v>
      </c>
      <c r="E3" s="7" t="s">
        <v>63</v>
      </c>
      <c r="F3" s="7"/>
      <c r="G3" s="7" t="s">
        <v>64</v>
      </c>
      <c r="H3" s="7" t="n">
        <v>1</v>
      </c>
      <c r="I3" s="13" t="n">
        <v>120</v>
      </c>
      <c r="J3" s="7" t="s">
        <v>56</v>
      </c>
      <c r="K3" s="7" t="s">
        <v>65</v>
      </c>
      <c r="L3" s="14" t="n">
        <f aca="false">IF(C3="zone",COUNTA(Zones!$A$2:$A$50),IF(C3="path",COUNTIF(Route!$D$2:$D$100,FALSE()),1))</f>
        <v>6</v>
      </c>
      <c r="M3" s="9" t="n">
        <f aca="false">I3*L3</f>
        <v>720</v>
      </c>
      <c r="N3" s="7" t="s">
        <v>66</v>
      </c>
    </row>
    <row r="4" customFormat="false" ht="26.25" hidden="false" customHeight="true" outlineLevel="0" collapsed="false">
      <c r="A4" s="7" t="s">
        <v>67</v>
      </c>
      <c r="B4" s="7" t="s">
        <v>68</v>
      </c>
      <c r="C4" s="7" t="s">
        <v>61</v>
      </c>
      <c r="D4" s="7" t="s">
        <v>69</v>
      </c>
      <c r="E4" s="7"/>
      <c r="F4" s="7"/>
      <c r="G4" s="7" t="s">
        <v>70</v>
      </c>
      <c r="H4" s="7" t="n">
        <v>0.7</v>
      </c>
      <c r="I4" s="13" t="n">
        <v>80</v>
      </c>
      <c r="J4" s="7" t="s">
        <v>56</v>
      </c>
      <c r="K4" s="7" t="s">
        <v>71</v>
      </c>
      <c r="L4" s="14" t="n">
        <f aca="false">IF(C4="zone",COUNTA(Zones!$A$2:$A$50),IF(C4="path",COUNTIF(Route!$D$2:$D$100,FALSE()),1))</f>
        <v>6</v>
      </c>
      <c r="M4" s="9" t="n">
        <f aca="false">I4*L4</f>
        <v>480</v>
      </c>
      <c r="N4" s="7" t="s">
        <v>72</v>
      </c>
    </row>
    <row r="5" customFormat="false" ht="15" hidden="false" customHeight="true" outlineLevel="0" collapsed="false">
      <c r="A5" s="7" t="s">
        <v>73</v>
      </c>
      <c r="B5" s="7" t="s">
        <v>74</v>
      </c>
      <c r="C5" s="7" t="s">
        <v>61</v>
      </c>
      <c r="D5" s="7" t="s">
        <v>75</v>
      </c>
      <c r="E5" s="7" t="s">
        <v>76</v>
      </c>
      <c r="F5" s="7"/>
      <c r="G5" s="7" t="s">
        <v>55</v>
      </c>
      <c r="H5" s="7" t="n">
        <v>1</v>
      </c>
      <c r="I5" s="13" t="n">
        <v>300</v>
      </c>
      <c r="J5" s="7" t="s">
        <v>56</v>
      </c>
      <c r="K5" s="7" t="s">
        <v>77</v>
      </c>
      <c r="L5" s="14" t="n">
        <f aca="false">IF(C5="zone",COUNTA(Zones!$A$2:$A$50),IF(C5="path",COUNTIF(Route!$D$2:$D$100,FALSE()),1))</f>
        <v>6</v>
      </c>
      <c r="M5" s="9" t="n">
        <f aca="false">I5*L5</f>
        <v>1800</v>
      </c>
      <c r="N5" s="7" t="s">
        <v>78</v>
      </c>
    </row>
    <row r="6" customFormat="false" ht="26.25" hidden="false" customHeight="true" outlineLevel="0" collapsed="false">
      <c r="A6" s="7" t="s">
        <v>79</v>
      </c>
      <c r="B6" s="7" t="s">
        <v>80</v>
      </c>
      <c r="C6" s="7" t="s">
        <v>81</v>
      </c>
      <c r="D6" s="7" t="s">
        <v>75</v>
      </c>
      <c r="E6" s="7"/>
      <c r="F6" s="7"/>
      <c r="G6" s="7" t="s">
        <v>55</v>
      </c>
      <c r="H6" s="7"/>
      <c r="I6" s="13" t="n">
        <v>1000</v>
      </c>
      <c r="J6" s="7" t="s">
        <v>56</v>
      </c>
      <c r="K6" s="7" t="s">
        <v>82</v>
      </c>
      <c r="L6" s="14" t="n">
        <f aca="false">IF(C6="zone",COUNTA(Zones!$A$2:$A$50),IF(C6="path",COUNTIF(Route!$D$2:$D$100,FALSE()),1))</f>
        <v>1</v>
      </c>
      <c r="M6" s="9" t="n">
        <f aca="false">I6*L6</f>
        <v>1000</v>
      </c>
      <c r="N6" s="7" t="s">
        <v>83</v>
      </c>
    </row>
    <row r="7" customFormat="false" ht="26.25" hidden="false" customHeight="true" outlineLevel="0" collapsed="false">
      <c r="A7" s="7" t="s">
        <v>84</v>
      </c>
      <c r="B7" s="7" t="s">
        <v>85</v>
      </c>
      <c r="C7" s="7" t="s">
        <v>81</v>
      </c>
      <c r="D7" s="7" t="s">
        <v>75</v>
      </c>
      <c r="E7" s="7"/>
      <c r="F7" s="7"/>
      <c r="G7" s="7" t="s">
        <v>86</v>
      </c>
      <c r="H7" s="7"/>
      <c r="I7" s="13" t="n">
        <v>600</v>
      </c>
      <c r="J7" s="7" t="s">
        <v>56</v>
      </c>
      <c r="K7" s="7" t="s">
        <v>87</v>
      </c>
      <c r="L7" s="14" t="n">
        <f aca="false">IF(C7="zone",COUNTA(Zones!$A$2:$A$50),IF(C7="path",COUNTIF(Route!$D$2:$D$100,FALSE()),1))</f>
        <v>1</v>
      </c>
      <c r="M7" s="9" t="n">
        <f aca="false">I7*L7</f>
        <v>600</v>
      </c>
      <c r="N7" s="7" t="s">
        <v>88</v>
      </c>
    </row>
    <row r="8" customFormat="false" ht="26.25" hidden="false" customHeight="true" outlineLevel="0" collapsed="false">
      <c r="A8" s="7" t="s">
        <v>89</v>
      </c>
      <c r="B8" s="7" t="s">
        <v>90</v>
      </c>
      <c r="C8" s="7" t="s">
        <v>61</v>
      </c>
      <c r="D8" s="7" t="s">
        <v>54</v>
      </c>
      <c r="E8" s="7" t="s">
        <v>91</v>
      </c>
      <c r="F8" s="7"/>
      <c r="G8" s="7" t="s">
        <v>92</v>
      </c>
      <c r="H8" s="7" t="n">
        <v>0.8</v>
      </c>
      <c r="I8" s="13" t="n">
        <v>700</v>
      </c>
      <c r="J8" s="7" t="s">
        <v>56</v>
      </c>
      <c r="K8" s="7" t="s">
        <v>93</v>
      </c>
      <c r="L8" s="14" t="n">
        <f aca="false">IF(C8="zone",COUNTA(Zones!$A$2:$A$50),IF(C8="path",COUNTIF(Route!$D$2:$D$100,FALSE()),1))</f>
        <v>6</v>
      </c>
      <c r="M8" s="9" t="n">
        <f aca="false">I8*L8</f>
        <v>4200</v>
      </c>
      <c r="N8" s="7" t="s">
        <v>94</v>
      </c>
    </row>
    <row r="9" customFormat="false" ht="26.25" hidden="false" customHeight="true" outlineLevel="0" collapsed="false">
      <c r="A9" s="7" t="s">
        <v>95</v>
      </c>
      <c r="B9" s="7" t="s">
        <v>96</v>
      </c>
      <c r="C9" s="7" t="s">
        <v>61</v>
      </c>
      <c r="D9" s="7" t="s">
        <v>54</v>
      </c>
      <c r="E9" s="7" t="s">
        <v>97</v>
      </c>
      <c r="F9" s="7"/>
      <c r="G9" s="7" t="s">
        <v>92</v>
      </c>
      <c r="H9" s="7" t="n">
        <v>0.8</v>
      </c>
      <c r="I9" s="13" t="n">
        <v>100</v>
      </c>
      <c r="J9" s="7" t="s">
        <v>56</v>
      </c>
      <c r="K9" s="7" t="s">
        <v>98</v>
      </c>
      <c r="L9" s="14" t="n">
        <f aca="false">IF(C9="zone",COUNTA(Zones!$A$2:$A$50),IF(C9="path",COUNTIF(Route!$D$2:$D$100,FALSE()),1))</f>
        <v>6</v>
      </c>
      <c r="M9" s="9" t="n">
        <f aca="false">I9*L9</f>
        <v>600</v>
      </c>
      <c r="N9" s="7" t="s">
        <v>99</v>
      </c>
    </row>
    <row r="10" customFormat="false" ht="15" hidden="false" customHeight="true" outlineLevel="0" collapsed="false">
      <c r="A10" s="7" t="s">
        <v>100</v>
      </c>
      <c r="B10" s="7" t="s">
        <v>101</v>
      </c>
      <c r="C10" s="7" t="s">
        <v>61</v>
      </c>
      <c r="D10" s="7"/>
      <c r="E10" s="7"/>
      <c r="F10" s="7" t="s">
        <v>102</v>
      </c>
      <c r="G10" s="7" t="s">
        <v>55</v>
      </c>
      <c r="H10" s="7"/>
      <c r="I10" s="13" t="n">
        <v>400</v>
      </c>
      <c r="J10" s="7" t="s">
        <v>56</v>
      </c>
      <c r="K10" s="7" t="s">
        <v>103</v>
      </c>
      <c r="L10" s="14" t="n">
        <f aca="false">IF(C10="zone",COUNTA(Zones!$A$2:$A$50),IF(C10="path",COUNTIF(Route!$D$2:$D$100,FALSE()),1))</f>
        <v>6</v>
      </c>
      <c r="M10" s="9" t="n">
        <f aca="false">I10*L10</f>
        <v>2400</v>
      </c>
      <c r="N10" s="7" t="s">
        <v>104</v>
      </c>
      <c r="O10" s="7" t="n">
        <v>1.3</v>
      </c>
    </row>
    <row r="11" customFormat="false" ht="15" hidden="false" customHeight="true" outlineLevel="0" collapsed="false">
      <c r="A11" s="7" t="s">
        <v>105</v>
      </c>
      <c r="B11" s="7" t="s">
        <v>106</v>
      </c>
      <c r="C11" s="7" t="s">
        <v>61</v>
      </c>
      <c r="D11" s="7"/>
      <c r="E11" s="7" t="s">
        <v>63</v>
      </c>
      <c r="F11" s="7"/>
      <c r="G11" s="7" t="s">
        <v>55</v>
      </c>
      <c r="H11" s="7"/>
      <c r="I11" s="13" t="n">
        <v>160</v>
      </c>
      <c r="J11" s="7" t="s">
        <v>56</v>
      </c>
      <c r="K11" s="7" t="s">
        <v>107</v>
      </c>
      <c r="L11" s="14" t="n">
        <f aca="false">IF(C11="zone",COUNTA(Zones!$A$2:$A$50),IF(C11="path",COUNTIF(Route!$D$2:$D$100,FALSE()),1))</f>
        <v>6</v>
      </c>
      <c r="M11" s="9" t="n">
        <f aca="false">I11*L11</f>
        <v>960</v>
      </c>
      <c r="N11" s="7" t="s">
        <v>108</v>
      </c>
    </row>
    <row r="12" customFormat="false" ht="15" hidden="false" customHeight="true" outlineLevel="0" collapsed="false">
      <c r="A12" s="7" t="s">
        <v>97</v>
      </c>
      <c r="B12" s="7" t="s">
        <v>109</v>
      </c>
      <c r="C12" s="7" t="s">
        <v>81</v>
      </c>
      <c r="D12" s="7" t="s">
        <v>110</v>
      </c>
      <c r="E12" s="7"/>
      <c r="F12" s="7"/>
      <c r="G12" s="7" t="s">
        <v>55</v>
      </c>
      <c r="H12" s="7"/>
      <c r="I12" s="13" t="n">
        <v>800</v>
      </c>
      <c r="J12" s="7" t="s">
        <v>56</v>
      </c>
      <c r="K12" s="7" t="s">
        <v>111</v>
      </c>
      <c r="L12" s="14" t="n">
        <f aca="false">IF(C12="zone",COUNTA(Zones!$A$2:$A$50),IF(C12="path",COUNTIF(Route!$D$2:$D$100,FALSE()),1))</f>
        <v>1</v>
      </c>
      <c r="M12" s="9" t="n">
        <f aca="false">I12*L12</f>
        <v>800</v>
      </c>
      <c r="N12" s="7" t="s">
        <v>112</v>
      </c>
    </row>
    <row r="13" customFormat="false" ht="26.25" hidden="false" customHeight="true" outlineLevel="0" collapsed="false">
      <c r="A13" s="7" t="s">
        <v>113</v>
      </c>
      <c r="B13" s="7" t="s">
        <v>114</v>
      </c>
      <c r="C13" s="7" t="s">
        <v>81</v>
      </c>
      <c r="D13" s="7" t="s">
        <v>110</v>
      </c>
      <c r="E13" s="7" t="s">
        <v>115</v>
      </c>
      <c r="F13" s="7"/>
      <c r="G13" s="7" t="s">
        <v>55</v>
      </c>
      <c r="H13" s="7" t="n">
        <v>0.6</v>
      </c>
      <c r="I13" s="13" t="n">
        <v>500</v>
      </c>
      <c r="J13" s="7" t="s">
        <v>56</v>
      </c>
      <c r="K13" s="7" t="s">
        <v>116</v>
      </c>
      <c r="L13" s="14" t="n">
        <f aca="false">IF(C13="zone",COUNTA(Zones!$A$2:$A$50),IF(C13="path",COUNTIF(Route!$D$2:$D$100,FALSE()),1))</f>
        <v>1</v>
      </c>
      <c r="M13" s="9" t="n">
        <f aca="false">I13*L13</f>
        <v>500</v>
      </c>
      <c r="N13" s="7" t="s">
        <v>117</v>
      </c>
      <c r="Q13" s="7" t="s">
        <v>118</v>
      </c>
    </row>
    <row r="14" customFormat="false" ht="26.25" hidden="false" customHeight="true" outlineLevel="0" collapsed="false">
      <c r="A14" s="7" t="s">
        <v>119</v>
      </c>
      <c r="B14" s="7" t="s">
        <v>120</v>
      </c>
      <c r="C14" s="7" t="s">
        <v>61</v>
      </c>
      <c r="D14" s="7" t="s">
        <v>75</v>
      </c>
      <c r="E14" s="7" t="s">
        <v>121</v>
      </c>
      <c r="F14" s="7"/>
      <c r="G14" s="7" t="s">
        <v>55</v>
      </c>
      <c r="H14" s="7" t="n">
        <v>0.5</v>
      </c>
      <c r="I14" s="13" t="n">
        <v>400</v>
      </c>
      <c r="J14" s="7" t="s">
        <v>56</v>
      </c>
      <c r="K14" s="7" t="s">
        <v>122</v>
      </c>
      <c r="L14" s="14" t="n">
        <f aca="false">IF(C14="zone",COUNTA(Zones!$A$2:$A$50),IF(C14="path",COUNTIF(Route!$D$2:$D$100,FALSE()),1))</f>
        <v>6</v>
      </c>
      <c r="M14" s="9" t="n">
        <f aca="false">I14*L14</f>
        <v>2400</v>
      </c>
      <c r="N14" s="7" t="s">
        <v>123</v>
      </c>
    </row>
    <row r="15" customFormat="false" ht="26.25" hidden="false" customHeight="true" outlineLevel="0" collapsed="false">
      <c r="A15" s="7" t="s">
        <v>124</v>
      </c>
      <c r="B15" s="7" t="s">
        <v>125</v>
      </c>
      <c r="C15" s="7" t="s">
        <v>81</v>
      </c>
      <c r="D15" s="7" t="s">
        <v>69</v>
      </c>
      <c r="E15" s="7"/>
      <c r="F15" s="7"/>
      <c r="G15" s="7" t="s">
        <v>70</v>
      </c>
      <c r="H15" s="7" t="n">
        <v>0.5</v>
      </c>
      <c r="I15" s="13" t="n">
        <v>300</v>
      </c>
      <c r="J15" s="7" t="s">
        <v>56</v>
      </c>
      <c r="K15" s="7" t="s">
        <v>126</v>
      </c>
      <c r="L15" s="14" t="n">
        <f aca="false">IF(C15="zone",COUNTA(Zones!$A$2:$A$50),IF(C15="path",COUNTIF(Route!$D$2:$D$100,FALSE()),1))</f>
        <v>1</v>
      </c>
      <c r="M15" s="9" t="n">
        <f aca="false">I15*L15</f>
        <v>300</v>
      </c>
      <c r="N15" s="7" t="s">
        <v>127</v>
      </c>
    </row>
    <row r="16" customFormat="false" ht="15" hidden="false" customHeight="true" outlineLevel="0" collapsed="false">
      <c r="A16" s="7" t="s">
        <v>128</v>
      </c>
      <c r="B16" s="7" t="s">
        <v>129</v>
      </c>
      <c r="C16" s="7" t="s">
        <v>81</v>
      </c>
      <c r="D16" s="7" t="s">
        <v>62</v>
      </c>
      <c r="E16" s="7"/>
      <c r="F16" s="7"/>
      <c r="G16" s="7" t="s">
        <v>64</v>
      </c>
      <c r="H16" s="7" t="n">
        <v>0.5</v>
      </c>
      <c r="I16" s="13" t="n">
        <v>1200</v>
      </c>
      <c r="J16" s="7" t="s">
        <v>56</v>
      </c>
      <c r="K16" s="7" t="s">
        <v>130</v>
      </c>
      <c r="L16" s="14" t="n">
        <f aca="false">IF(C16="zone",COUNTA(Zones!$A$2:$A$50),IF(C16="path",COUNTIF(Route!$D$2:$D$100,FALSE()),1))</f>
        <v>1</v>
      </c>
      <c r="M16" s="9" t="n">
        <f aca="false">I16*L16</f>
        <v>1200</v>
      </c>
      <c r="N16" s="7" t="s">
        <v>131</v>
      </c>
    </row>
    <row r="17" customFormat="false" ht="15" hidden="false" customHeight="true" outlineLevel="0" collapsed="false">
      <c r="A17" s="7" t="s">
        <v>132</v>
      </c>
      <c r="B17" s="7" t="s">
        <v>133</v>
      </c>
      <c r="C17" s="7" t="s">
        <v>81</v>
      </c>
      <c r="D17" s="7" t="s">
        <v>134</v>
      </c>
      <c r="E17" s="7"/>
      <c r="F17" s="7"/>
      <c r="G17" s="7" t="s">
        <v>55</v>
      </c>
      <c r="H17" s="7"/>
      <c r="I17" s="13" t="n">
        <v>400</v>
      </c>
      <c r="J17" s="7" t="s">
        <v>56</v>
      </c>
      <c r="K17" s="7" t="s">
        <v>135</v>
      </c>
      <c r="L17" s="14" t="n">
        <f aca="false">IF(C17="zone",COUNTA(Zones!$A$2:$A$50),IF(C17="path",COUNTIF(Route!$D$2:$D$100,FALSE()),1))</f>
        <v>1</v>
      </c>
      <c r="M17" s="9" t="n">
        <f aca="false">I17*L17</f>
        <v>400</v>
      </c>
      <c r="N17" s="7" t="s">
        <v>136</v>
      </c>
    </row>
    <row r="18" customFormat="false" ht="15" hidden="false" customHeight="true" outlineLevel="0" collapsed="false">
      <c r="A18" s="7" t="s">
        <v>137</v>
      </c>
      <c r="B18" s="7" t="s">
        <v>138</v>
      </c>
      <c r="C18" s="7" t="s">
        <v>81</v>
      </c>
      <c r="D18" s="7" t="s">
        <v>75</v>
      </c>
      <c r="E18" s="7" t="s">
        <v>97</v>
      </c>
      <c r="F18" s="7"/>
      <c r="G18" s="7" t="s">
        <v>55</v>
      </c>
      <c r="H18" s="7" t="n">
        <v>0.4</v>
      </c>
      <c r="I18" s="13" t="n">
        <v>5000</v>
      </c>
      <c r="J18" s="7" t="s">
        <v>56</v>
      </c>
      <c r="K18" s="7" t="s">
        <v>139</v>
      </c>
      <c r="L18" s="14" t="n">
        <f aca="false">IF(C18="zone",COUNTA(Zones!$A$2:$A$50),IF(C18="path",COUNTIF(Route!$D$2:$D$100,FALSE()),1))</f>
        <v>1</v>
      </c>
      <c r="M18" s="9" t="n">
        <f aca="false">I18*L18</f>
        <v>5000</v>
      </c>
      <c r="N18" s="7" t="s">
        <v>140</v>
      </c>
    </row>
    <row r="19" customFormat="false" ht="26.25" hidden="false" customHeight="true" outlineLevel="0" collapsed="false">
      <c r="A19" s="7" t="s">
        <v>141</v>
      </c>
      <c r="B19" s="7" t="s">
        <v>142</v>
      </c>
      <c r="C19" s="7" t="s">
        <v>81</v>
      </c>
      <c r="D19" s="7"/>
      <c r="E19" s="7"/>
      <c r="F19" s="7"/>
      <c r="G19" s="7" t="s">
        <v>86</v>
      </c>
      <c r="H19" s="7"/>
      <c r="I19" s="13" t="n">
        <v>300</v>
      </c>
      <c r="J19" s="7" t="s">
        <v>56</v>
      </c>
      <c r="K19" s="7" t="s">
        <v>143</v>
      </c>
      <c r="L19" s="3" t="n">
        <f aca="false">IF(C19="zone",COUNTA(Zones!$A$2:$A$50),IF(C19="path",COUNTIF(Route!$D$2:$D$100,FALSE()),1))</f>
        <v>1</v>
      </c>
      <c r="M19" s="15" t="n">
        <f aca="false">I19*L19</f>
        <v>300</v>
      </c>
      <c r="N19" s="7" t="s">
        <v>144</v>
      </c>
    </row>
    <row r="20" customFormat="false" ht="26.25" hidden="false" customHeight="true" outlineLevel="0" collapsed="false">
      <c r="A20" s="7" t="s">
        <v>145</v>
      </c>
      <c r="B20" s="7" t="s">
        <v>146</v>
      </c>
      <c r="C20" s="7" t="s">
        <v>61</v>
      </c>
      <c r="D20" s="7" t="s">
        <v>75</v>
      </c>
      <c r="E20" s="7" t="s">
        <v>141</v>
      </c>
      <c r="F20" s="7"/>
      <c r="G20" s="7" t="s">
        <v>86</v>
      </c>
      <c r="H20" s="7" t="n">
        <v>0.6</v>
      </c>
      <c r="I20" s="13" t="n">
        <v>60</v>
      </c>
      <c r="J20" s="7" t="s">
        <v>56</v>
      </c>
      <c r="K20" s="7" t="s">
        <v>147</v>
      </c>
      <c r="L20" s="3" t="n">
        <f aca="false">IF(C20="zone",COUNTA(Zones!$A$2:$A$50),IF(C20="path",COUNTIF(Route!$D$2:$D$100,FALSE()),1))</f>
        <v>6</v>
      </c>
      <c r="M20" s="15" t="n">
        <f aca="false">I20*L20</f>
        <v>360</v>
      </c>
      <c r="N20" s="7" t="s">
        <v>148</v>
      </c>
    </row>
    <row r="21" customFormat="false" ht="26.25" hidden="false" customHeight="true" outlineLevel="0" collapsed="false">
      <c r="A21" s="7" t="s">
        <v>149</v>
      </c>
      <c r="B21" s="7" t="s">
        <v>150</v>
      </c>
      <c r="C21" s="7" t="s">
        <v>61</v>
      </c>
      <c r="D21" s="7"/>
      <c r="E21" s="7"/>
      <c r="F21" s="7" t="s">
        <v>151</v>
      </c>
      <c r="G21" s="7" t="s">
        <v>55</v>
      </c>
      <c r="H21" s="7"/>
      <c r="I21" s="13" t="n">
        <v>50</v>
      </c>
      <c r="J21" s="7" t="s">
        <v>56</v>
      </c>
      <c r="K21" s="7" t="s">
        <v>152</v>
      </c>
      <c r="L21" s="3" t="n">
        <f aca="false">IF(C21="zone",COUNTA(Zones!$A$2:$A$50),IF(C21="path",COUNTIF(Route!$D$2:$D$100,FALSE()),1))</f>
        <v>6</v>
      </c>
      <c r="M21" s="15" t="n">
        <f aca="false">I21*L21</f>
        <v>300</v>
      </c>
      <c r="N21" s="7" t="s">
        <v>153</v>
      </c>
      <c r="O21" s="7" t="n">
        <v>1.15</v>
      </c>
    </row>
    <row r="22" customFormat="false" ht="26.25" hidden="false" customHeight="true" outlineLevel="0" collapsed="false">
      <c r="A22" s="7" t="s">
        <v>154</v>
      </c>
      <c r="B22" s="7" t="s">
        <v>155</v>
      </c>
      <c r="C22" s="7" t="s">
        <v>81</v>
      </c>
      <c r="D22" s="7" t="s">
        <v>54</v>
      </c>
      <c r="E22" s="7"/>
      <c r="F22" s="7"/>
      <c r="G22" s="7" t="s">
        <v>55</v>
      </c>
      <c r="H22" s="16"/>
      <c r="I22" s="13" t="n">
        <v>1500</v>
      </c>
      <c r="J22" s="7" t="s">
        <v>56</v>
      </c>
      <c r="K22" s="7" t="s">
        <v>156</v>
      </c>
      <c r="L22" s="16" t="n">
        <f aca="false">IF(C22="zone",COUNTA(Zones!$A$2:$A$50),IF(C22="path",COUNTIF(Route!$D$2:$D$100,FALSE()),1))</f>
        <v>1</v>
      </c>
      <c r="M22" s="17" t="n">
        <f aca="false">I22*L22</f>
        <v>1500</v>
      </c>
      <c r="N22" s="7" t="s">
        <v>157</v>
      </c>
      <c r="O22" s="16"/>
      <c r="P22" s="16"/>
      <c r="Q22" s="7" t="s">
        <v>158</v>
      </c>
    </row>
    <row r="23" customFormat="false" ht="26.85" hidden="false" customHeight="false" outlineLevel="0" collapsed="false">
      <c r="A23" s="7" t="s">
        <v>159</v>
      </c>
      <c r="B23" s="7" t="s">
        <v>160</v>
      </c>
      <c r="C23" s="7" t="s">
        <v>61</v>
      </c>
      <c r="D23" s="7" t="s">
        <v>161</v>
      </c>
      <c r="E23" s="7"/>
      <c r="F23" s="7"/>
      <c r="G23" s="7" t="s">
        <v>70</v>
      </c>
      <c r="H23" s="7" t="n">
        <v>0.3</v>
      </c>
      <c r="I23" s="18" t="n">
        <v>0</v>
      </c>
      <c r="J23" s="7" t="s">
        <v>56</v>
      </c>
      <c r="K23" s="7" t="s">
        <v>162</v>
      </c>
      <c r="L23" s="5" t="n">
        <f aca="false">IF(C23="zone",COUNTA(Zones!$A$2:$A$50),IF(C23="path",COUNTIF(Route!$D$2:$D$100,FALSE()),1))</f>
        <v>6</v>
      </c>
      <c r="M23" s="19" t="n">
        <f aca="false">I23*L23</f>
        <v>0</v>
      </c>
      <c r="N23" s="7" t="s">
        <v>163</v>
      </c>
    </row>
  </sheetData>
  <dataValidations count="2">
    <dataValidation allowBlank="false" errorStyle="stop" operator="between" showDropDown="false" showErrorMessage="false" showInputMessage="false" sqref="C2:C200" type="list">
      <formula1>"zone,venue,path"</formula1>
      <formula2>0</formula2>
    </dataValidation>
    <dataValidation allowBlank="false" errorStyle="stop" operator="between" showDropDown="false" showErrorMessage="false" showInputMessage="false" sqref="J2:J200" type="list">
      <formula1>"placeholder,validated"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55"/>
    <col collapsed="false" customWidth="true" hidden="false" outlineLevel="0" max="10" min="10" style="1" width="32"/>
    <col collapsed="false" customWidth="true" hidden="false" outlineLevel="0" max="11" min="11" style="1" width="22"/>
  </cols>
  <sheetData>
    <row r="1" customFormat="false" ht="26.25" hidden="false" customHeight="true" outlineLevel="0" collapsed="false">
      <c r="A1" s="6" t="s">
        <v>34</v>
      </c>
      <c r="B1" s="6" t="s">
        <v>35</v>
      </c>
      <c r="C1" s="6" t="s">
        <v>64</v>
      </c>
      <c r="D1" s="6" t="s">
        <v>86</v>
      </c>
      <c r="E1" s="6" t="s">
        <v>70</v>
      </c>
      <c r="F1" s="6" t="s">
        <v>92</v>
      </c>
      <c r="G1" s="6" t="s">
        <v>164</v>
      </c>
      <c r="H1" s="6" t="s">
        <v>43</v>
      </c>
      <c r="I1" s="6" t="s">
        <v>44</v>
      </c>
      <c r="J1" s="11" t="s">
        <v>47</v>
      </c>
      <c r="K1" s="11" t="s">
        <v>49</v>
      </c>
    </row>
    <row r="2" customFormat="false" ht="15" hidden="false" customHeight="true" outlineLevel="0" collapsed="false">
      <c r="A2" s="7" t="s">
        <v>165</v>
      </c>
      <c r="B2" s="7" t="s">
        <v>166</v>
      </c>
      <c r="C2" s="20" t="b">
        <f aca="false">FALSE()</f>
        <v>0</v>
      </c>
      <c r="D2" s="20" t="b">
        <f aca="false">TRUE()</f>
        <v>1</v>
      </c>
      <c r="E2" s="20" t="b">
        <f aca="false">FALSE()</f>
        <v>0</v>
      </c>
      <c r="F2" s="20" t="b">
        <f aca="false">TRUE()</f>
        <v>1</v>
      </c>
      <c r="G2" s="21" t="n">
        <v>0.5</v>
      </c>
      <c r="H2" s="7" t="s">
        <v>56</v>
      </c>
      <c r="I2" s="7" t="s">
        <v>167</v>
      </c>
      <c r="J2" s="7" t="s">
        <v>168</v>
      </c>
    </row>
    <row r="3" customFormat="false" ht="15" hidden="false" customHeight="true" outlineLevel="0" collapsed="false">
      <c r="A3" s="7" t="s">
        <v>169</v>
      </c>
      <c r="B3" s="7" t="s">
        <v>170</v>
      </c>
      <c r="C3" s="20" t="b">
        <f aca="false">TRUE()</f>
        <v>1</v>
      </c>
      <c r="D3" s="20" t="b">
        <f aca="false">FALSE()</f>
        <v>0</v>
      </c>
      <c r="E3" s="20" t="b">
        <f aca="false">FALSE()</f>
        <v>0</v>
      </c>
      <c r="F3" s="20" t="b">
        <f aca="false">TRUE()</f>
        <v>1</v>
      </c>
      <c r="G3" s="21" t="n">
        <v>0.2</v>
      </c>
      <c r="H3" s="7" t="s">
        <v>56</v>
      </c>
      <c r="I3" s="7"/>
      <c r="J3" s="7" t="s">
        <v>171</v>
      </c>
    </row>
    <row r="4" customFormat="false" ht="26.25" hidden="false" customHeight="true" outlineLevel="0" collapsed="false">
      <c r="A4" s="7" t="s">
        <v>172</v>
      </c>
      <c r="B4" s="7" t="s">
        <v>173</v>
      </c>
      <c r="C4" s="20" t="b">
        <f aca="false">FALSE()</f>
        <v>0</v>
      </c>
      <c r="D4" s="20" t="b">
        <f aca="false">TRUE()</f>
        <v>1</v>
      </c>
      <c r="E4" s="20" t="b">
        <f aca="false">TRUE()</f>
        <v>1</v>
      </c>
      <c r="F4" s="20" t="b">
        <f aca="false">FALSE()</f>
        <v>0</v>
      </c>
      <c r="G4" s="21" t="n">
        <v>0.3</v>
      </c>
      <c r="H4" s="7" t="s">
        <v>56</v>
      </c>
      <c r="I4" s="7" t="s">
        <v>174</v>
      </c>
      <c r="J4" s="7" t="s">
        <v>175</v>
      </c>
    </row>
    <row r="6" customFormat="false" ht="15" hidden="false" customHeight="true" outlineLevel="0" collapsed="false">
      <c r="F6" s="4" t="s">
        <v>176</v>
      </c>
      <c r="G6" s="22" t="n">
        <f aca="false">SUM(G2:G4)</f>
        <v>1</v>
      </c>
    </row>
  </sheetData>
  <dataValidations count="1">
    <dataValidation allowBlank="false" errorStyle="stop" operator="between" showDropDown="false" showErrorMessage="false" showInputMessage="false" sqref="C2:F5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4"/>
    <col collapsed="false" customWidth="true" hidden="false" outlineLevel="0" max="4" min="4" style="1" width="12"/>
    <col collapsed="false" customWidth="true" hidden="false" outlineLevel="0" max="7" min="5" style="1" width="15"/>
    <col collapsed="false" customWidth="true" hidden="false" outlineLevel="0" max="9" min="8" style="1" width="45"/>
  </cols>
  <sheetData>
    <row r="1" customFormat="false" ht="26.25" hidden="false" customHeight="true" outlineLevel="0" collapsed="false">
      <c r="A1" s="6" t="s">
        <v>34</v>
      </c>
      <c r="B1" s="6" t="s">
        <v>47</v>
      </c>
      <c r="C1" s="6" t="s">
        <v>177</v>
      </c>
      <c r="D1" s="6" t="s">
        <v>178</v>
      </c>
      <c r="E1" s="6" t="s">
        <v>179</v>
      </c>
      <c r="F1" s="11" t="s">
        <v>180</v>
      </c>
      <c r="G1" s="6" t="s">
        <v>181</v>
      </c>
      <c r="H1" s="11" t="s">
        <v>182</v>
      </c>
      <c r="I1" s="11" t="s">
        <v>183</v>
      </c>
    </row>
    <row r="2" customFormat="false" ht="15" hidden="false" customHeight="true" outlineLevel="0" collapsed="false">
      <c r="A2" s="7" t="s">
        <v>184</v>
      </c>
      <c r="B2" s="7" t="s">
        <v>185</v>
      </c>
      <c r="C2" s="7" t="s">
        <v>186</v>
      </c>
      <c r="D2" s="20" t="b">
        <f aca="false">FALSE()</f>
        <v>0</v>
      </c>
      <c r="E2" s="7" t="n">
        <v>2</v>
      </c>
      <c r="F2" s="23" t="s">
        <v>187</v>
      </c>
      <c r="G2" s="7"/>
      <c r="H2" s="24"/>
      <c r="I2" s="24"/>
    </row>
    <row r="3" customFormat="false" ht="15" hidden="false" customHeight="true" outlineLevel="0" collapsed="false">
      <c r="A3" s="7" t="s">
        <v>188</v>
      </c>
      <c r="B3" s="7" t="s">
        <v>189</v>
      </c>
      <c r="C3" s="7" t="s">
        <v>190</v>
      </c>
      <c r="D3" s="20" t="b">
        <f aca="false">TRUE()</f>
        <v>1</v>
      </c>
      <c r="E3" s="7" t="n">
        <v>2</v>
      </c>
      <c r="F3" s="23" t="s">
        <v>191</v>
      </c>
      <c r="G3" s="7"/>
      <c r="H3" s="24"/>
      <c r="I3" s="24"/>
    </row>
    <row r="4" customFormat="false" ht="15" hidden="false" customHeight="true" outlineLevel="0" collapsed="false">
      <c r="A4" s="7" t="s">
        <v>192</v>
      </c>
      <c r="B4" s="7" t="s">
        <v>193</v>
      </c>
      <c r="C4" s="7" t="s">
        <v>194</v>
      </c>
      <c r="D4" s="20" t="b">
        <f aca="false">FALSE()</f>
        <v>0</v>
      </c>
      <c r="E4" s="7" t="n">
        <v>2</v>
      </c>
      <c r="F4" s="23" t="s">
        <v>195</v>
      </c>
      <c r="G4" s="7"/>
      <c r="H4" s="24"/>
      <c r="I4" s="24"/>
    </row>
    <row r="5" customFormat="false" ht="15" hidden="false" customHeight="true" outlineLevel="0" collapsed="false">
      <c r="A5" s="7" t="s">
        <v>196</v>
      </c>
      <c r="B5" s="7" t="s">
        <v>197</v>
      </c>
      <c r="C5" s="7" t="s">
        <v>198</v>
      </c>
      <c r="D5" s="20" t="b">
        <f aca="false">FALSE()</f>
        <v>0</v>
      </c>
      <c r="E5" s="7" t="n">
        <v>2</v>
      </c>
      <c r="F5" s="23" t="s">
        <v>199</v>
      </c>
      <c r="G5" s="7"/>
      <c r="H5" s="24"/>
      <c r="I5" s="24"/>
    </row>
    <row r="6" customFormat="false" ht="15" hidden="false" customHeight="true" outlineLevel="0" collapsed="false">
      <c r="A6" s="7" t="s">
        <v>200</v>
      </c>
      <c r="B6" s="7" t="s">
        <v>201</v>
      </c>
      <c r="C6" s="7" t="s">
        <v>202</v>
      </c>
      <c r="D6" s="20" t="b">
        <f aca="false">FALSE()</f>
        <v>0</v>
      </c>
      <c r="E6" s="7" t="n">
        <v>1</v>
      </c>
      <c r="F6" s="23" t="s">
        <v>203</v>
      </c>
      <c r="G6" s="7" t="s">
        <v>204</v>
      </c>
      <c r="H6" s="24"/>
      <c r="I6" s="24"/>
    </row>
    <row r="7" customFormat="false" ht="15" hidden="false" customHeight="true" outlineLevel="0" collapsed="false">
      <c r="A7" s="7" t="s">
        <v>205</v>
      </c>
      <c r="B7" s="7" t="s">
        <v>206</v>
      </c>
      <c r="C7" s="7" t="s">
        <v>207</v>
      </c>
      <c r="D7" s="20" t="b">
        <f aca="false">TRUE()</f>
        <v>1</v>
      </c>
      <c r="E7" s="7" t="n">
        <v>2</v>
      </c>
      <c r="F7" s="23" t="s">
        <v>208</v>
      </c>
      <c r="G7" s="7"/>
      <c r="H7" s="24"/>
      <c r="I7" s="24"/>
    </row>
  </sheetData>
  <dataValidations count="1">
    <dataValidation allowBlank="false" errorStyle="stop" operator="between" showDropDown="false" showErrorMessage="false" showInputMessage="false" sqref="D2:D5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42"/>
    <col collapsed="false" customWidth="true" hidden="false" outlineLevel="0" max="4" min="4" style="1" width="10"/>
    <col collapsed="false" customWidth="true" hidden="false" outlineLevel="0" max="5" min="5" style="1" width="50"/>
    <col collapsed="false" customWidth="true" hidden="false" outlineLevel="0" max="6" min="6" style="1" width="22"/>
  </cols>
  <sheetData>
    <row r="1" customFormat="false" ht="15" hidden="false" customHeight="true" outlineLevel="0" collapsed="false">
      <c r="A1" s="11" t="s">
        <v>209</v>
      </c>
      <c r="B1" s="11" t="s">
        <v>210</v>
      </c>
      <c r="C1" s="11" t="s">
        <v>211</v>
      </c>
      <c r="D1" s="11" t="s">
        <v>212</v>
      </c>
      <c r="E1" s="11" t="s">
        <v>181</v>
      </c>
      <c r="F1" s="11" t="s">
        <v>49</v>
      </c>
    </row>
    <row r="2" customFormat="false" ht="26.25" hidden="false" customHeight="true" outlineLevel="0" collapsed="false">
      <c r="A2" s="7" t="s">
        <v>187</v>
      </c>
      <c r="B2" s="7" t="s">
        <v>213</v>
      </c>
      <c r="C2" s="7" t="s">
        <v>214</v>
      </c>
      <c r="D2" s="20" t="b">
        <f aca="false">TRUE()</f>
        <v>1</v>
      </c>
      <c r="E2" s="7" t="s">
        <v>215</v>
      </c>
    </row>
    <row r="3" customFormat="false" ht="15" hidden="false" customHeight="true" outlineLevel="0" collapsed="false">
      <c r="A3" s="7" t="s">
        <v>191</v>
      </c>
      <c r="B3" s="7" t="s">
        <v>187</v>
      </c>
      <c r="C3" s="7" t="s">
        <v>216</v>
      </c>
      <c r="D3" s="20" t="b">
        <f aca="false">TRUE()</f>
        <v>1</v>
      </c>
      <c r="E3" s="7" t="s">
        <v>217</v>
      </c>
    </row>
    <row r="4" customFormat="false" ht="15" hidden="false" customHeight="true" outlineLevel="0" collapsed="false">
      <c r="A4" s="7" t="s">
        <v>195</v>
      </c>
      <c r="B4" s="7" t="s">
        <v>191</v>
      </c>
      <c r="C4" s="7" t="s">
        <v>218</v>
      </c>
      <c r="D4" s="20" t="b">
        <f aca="false">TRUE()</f>
        <v>1</v>
      </c>
      <c r="E4" s="7" t="s">
        <v>217</v>
      </c>
    </row>
    <row r="5" customFormat="false" ht="15" hidden="false" customHeight="true" outlineLevel="0" collapsed="false">
      <c r="A5" s="7" t="s">
        <v>219</v>
      </c>
      <c r="B5" s="7" t="s">
        <v>195</v>
      </c>
      <c r="C5" s="7" t="s">
        <v>220</v>
      </c>
      <c r="D5" s="20" t="b">
        <f aca="false">FALSE()</f>
        <v>0</v>
      </c>
      <c r="E5" s="7"/>
    </row>
    <row r="6" customFormat="false" ht="15" hidden="false" customHeight="true" outlineLevel="0" collapsed="false">
      <c r="A6" s="7" t="s">
        <v>208</v>
      </c>
      <c r="B6" s="7" t="s">
        <v>219</v>
      </c>
      <c r="C6" s="7" t="s">
        <v>221</v>
      </c>
      <c r="D6" s="20" t="b">
        <f aca="false">FALSE()</f>
        <v>0</v>
      </c>
      <c r="E6" s="7"/>
    </row>
    <row r="7" customFormat="false" ht="15" hidden="false" customHeight="true" outlineLevel="0" collapsed="false">
      <c r="A7" s="7" t="s">
        <v>203</v>
      </c>
      <c r="B7" s="7" t="s">
        <v>208</v>
      </c>
      <c r="C7" s="7" t="s">
        <v>222</v>
      </c>
      <c r="D7" s="20" t="b">
        <f aca="false">FALSE()</f>
        <v>0</v>
      </c>
      <c r="E7" s="7"/>
    </row>
    <row r="8" customFormat="false" ht="15" hidden="false" customHeight="true" outlineLevel="0" collapsed="false">
      <c r="A8" s="7" t="s">
        <v>199</v>
      </c>
      <c r="B8" s="7" t="s">
        <v>203</v>
      </c>
      <c r="C8" s="7" t="s">
        <v>223</v>
      </c>
      <c r="D8" s="20" t="b">
        <f aca="false">FALSE()</f>
        <v>0</v>
      </c>
      <c r="E8" s="7"/>
    </row>
  </sheetData>
  <dataValidations count="1">
    <dataValidation allowBlank="false" errorStyle="stop" operator="between" showDropDown="false" showErrorMessage="false" showInputMessage="false" sqref="D2:D1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55"/>
    <col collapsed="false" customWidth="true" hidden="false" outlineLevel="0" max="4" min="4" style="1" width="22"/>
  </cols>
  <sheetData>
    <row r="1" customFormat="false" ht="15" hidden="false" customHeight="true" outlineLevel="0" collapsed="false">
      <c r="A1" s="11" t="s">
        <v>224</v>
      </c>
      <c r="B1" s="11" t="s">
        <v>225</v>
      </c>
      <c r="C1" s="11" t="s">
        <v>181</v>
      </c>
      <c r="D1" s="11" t="s">
        <v>49</v>
      </c>
    </row>
    <row r="2" customFormat="false" ht="15" hidden="false" customHeight="true" outlineLevel="0" collapsed="false">
      <c r="A2" s="7" t="s">
        <v>154</v>
      </c>
      <c r="B2" s="7"/>
      <c r="C2" s="7" t="s">
        <v>226</v>
      </c>
      <c r="D2" s="16"/>
    </row>
    <row r="3" customFormat="false" ht="15" hidden="false" customHeight="true" outlineLevel="0" collapsed="false">
      <c r="A3" s="7" t="s">
        <v>105</v>
      </c>
      <c r="B3" s="7" t="s">
        <v>200</v>
      </c>
      <c r="C3" s="7" t="s">
        <v>227</v>
      </c>
      <c r="D3" s="16"/>
    </row>
    <row r="4" customFormat="false" ht="26.85" hidden="false" customHeight="false" outlineLevel="0" collapsed="false">
      <c r="A4" s="7" t="s">
        <v>159</v>
      </c>
      <c r="B4" s="7" t="s">
        <v>184</v>
      </c>
      <c r="C4" s="7" t="s">
        <v>228</v>
      </c>
      <c r="D4" s="7"/>
    </row>
    <row r="5" customFormat="false" ht="26.85" hidden="false" customHeight="false" outlineLevel="0" collapsed="false">
      <c r="A5" s="7" t="s">
        <v>159</v>
      </c>
      <c r="B5" s="7" t="s">
        <v>188</v>
      </c>
      <c r="C5" s="7" t="s">
        <v>228</v>
      </c>
      <c r="D5" s="7"/>
    </row>
    <row r="6" customFormat="false" ht="26.85" hidden="false" customHeight="false" outlineLevel="0" collapsed="false">
      <c r="A6" s="7" t="s">
        <v>159</v>
      </c>
      <c r="B6" s="7" t="s">
        <v>192</v>
      </c>
      <c r="C6" s="7" t="s">
        <v>228</v>
      </c>
      <c r="D6" s="7"/>
    </row>
    <row r="7" customFormat="false" ht="26.85" hidden="false" customHeight="false" outlineLevel="0" collapsed="false">
      <c r="A7" s="7" t="s">
        <v>159</v>
      </c>
      <c r="B7" s="7" t="s">
        <v>196</v>
      </c>
      <c r="C7" s="7" t="s">
        <v>228</v>
      </c>
      <c r="D7" s="7"/>
    </row>
    <row r="8" customFormat="false" ht="26.85" hidden="false" customHeight="false" outlineLevel="0" collapsed="false">
      <c r="A8" s="7" t="s">
        <v>159</v>
      </c>
      <c r="B8" s="7" t="s">
        <v>200</v>
      </c>
      <c r="C8" s="7" t="s">
        <v>228</v>
      </c>
      <c r="D8" s="7"/>
    </row>
    <row r="9" customFormat="false" ht="26.85" hidden="false" customHeight="false" outlineLevel="0" collapsed="false">
      <c r="A9" s="7" t="s">
        <v>159</v>
      </c>
      <c r="B9" s="7" t="s">
        <v>205</v>
      </c>
      <c r="C9" s="7" t="s">
        <v>228</v>
      </c>
      <c r="D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90"/>
  </cols>
  <sheetData>
    <row r="1" customFormat="false" ht="15" hidden="false" customHeight="true" outlineLevel="0" collapsed="false">
      <c r="A1" s="6" t="s">
        <v>229</v>
      </c>
      <c r="B1" s="6" t="s">
        <v>24</v>
      </c>
      <c r="C1" s="6" t="s">
        <v>25</v>
      </c>
    </row>
    <row r="2" customFormat="false" ht="15" hidden="false" customHeight="true" outlineLevel="0" collapsed="false">
      <c r="A2" s="7" t="s">
        <v>230</v>
      </c>
      <c r="B2" s="7" t="n">
        <v>1</v>
      </c>
      <c r="C2" s="7" t="s">
        <v>231</v>
      </c>
    </row>
    <row r="3" customFormat="false" ht="15" hidden="false" customHeight="true" outlineLevel="0" collapsed="false">
      <c r="A3" s="7" t="s">
        <v>232</v>
      </c>
      <c r="B3" s="7" t="n">
        <v>0.6</v>
      </c>
      <c r="C3" s="7" t="s">
        <v>233</v>
      </c>
    </row>
    <row r="4" customFormat="false" ht="15" hidden="false" customHeight="true" outlineLevel="0" collapsed="false">
      <c r="A4" s="7" t="s">
        <v>234</v>
      </c>
      <c r="B4" s="7" t="n">
        <v>0.3</v>
      </c>
      <c r="C4" s="7" t="s">
        <v>235</v>
      </c>
    </row>
    <row r="5" customFormat="false" ht="15" hidden="false" customHeight="true" outlineLevel="0" collapsed="false">
      <c r="A5" s="7" t="s">
        <v>236</v>
      </c>
      <c r="B5" s="7" t="n">
        <v>0.2</v>
      </c>
      <c r="C5" s="7" t="s">
        <v>237</v>
      </c>
    </row>
    <row r="6" customFormat="false" ht="15" hidden="false" customHeight="true" outlineLevel="0" collapsed="false">
      <c r="A6" s="7" t="s">
        <v>238</v>
      </c>
      <c r="B6" s="7" t="n">
        <v>0.4</v>
      </c>
      <c r="C6" s="7" t="s">
        <v>239</v>
      </c>
    </row>
    <row r="7" customFormat="false" ht="15" hidden="false" customHeight="true" outlineLevel="0" collapsed="false">
      <c r="A7" s="7" t="s">
        <v>240</v>
      </c>
      <c r="B7" s="7" t="n">
        <v>2</v>
      </c>
      <c r="C7" s="7" t="s">
        <v>241</v>
      </c>
    </row>
    <row r="8" customFormat="false" ht="15" hidden="false" customHeight="true" outlineLevel="0" collapsed="false">
      <c r="A8" s="7" t="s">
        <v>242</v>
      </c>
      <c r="B8" s="7" t="n">
        <v>0.8</v>
      </c>
      <c r="C8" s="7" t="s">
        <v>243</v>
      </c>
    </row>
    <row r="9" customFormat="false" ht="15" hidden="false" customHeight="true" outlineLevel="0" collapsed="false">
      <c r="A9" s="7" t="s">
        <v>244</v>
      </c>
      <c r="B9" s="7" t="n">
        <v>1.3</v>
      </c>
      <c r="C9" s="7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60"/>
    <col collapsed="false" customWidth="true" hidden="false" outlineLevel="0" max="4" min="4" style="1" width="22"/>
  </cols>
  <sheetData>
    <row r="1" customFormat="false" ht="15" hidden="false" customHeight="true" outlineLevel="0" collapsed="false">
      <c r="A1" s="11" t="s">
        <v>246</v>
      </c>
      <c r="B1" s="11" t="s">
        <v>247</v>
      </c>
      <c r="C1" s="11" t="s">
        <v>248</v>
      </c>
      <c r="D1" s="11" t="s">
        <v>49</v>
      </c>
    </row>
    <row r="2" customFormat="false" ht="15" hidden="false" customHeight="true" outlineLevel="0" collapsed="false">
      <c r="A2" s="7" t="s">
        <v>249</v>
      </c>
      <c r="B2" s="7" t="s">
        <v>250</v>
      </c>
      <c r="C2" s="7" t="s">
        <v>251</v>
      </c>
      <c r="D2" s="7"/>
    </row>
    <row r="3" customFormat="false" ht="26.25" hidden="false" customHeight="true" outlineLevel="0" collapsed="false">
      <c r="A3" s="7" t="s">
        <v>252</v>
      </c>
      <c r="B3" s="7" t="s">
        <v>253</v>
      </c>
      <c r="C3" s="7" t="s">
        <v>254</v>
      </c>
      <c r="D3" s="7"/>
    </row>
    <row r="4" customFormat="false" ht="15" hidden="false" customHeight="true" outlineLevel="0" collapsed="false">
      <c r="A4" s="7" t="s">
        <v>255</v>
      </c>
      <c r="B4" s="7" t="s">
        <v>256</v>
      </c>
      <c r="C4" s="7" t="s">
        <v>257</v>
      </c>
      <c r="D4" s="7"/>
    </row>
    <row r="5" customFormat="false" ht="15" hidden="false" customHeight="true" outlineLevel="0" collapsed="false">
      <c r="A5" s="7" t="s">
        <v>258</v>
      </c>
      <c r="B5" s="7" t="s">
        <v>259</v>
      </c>
      <c r="C5" s="7" t="s">
        <v>260</v>
      </c>
      <c r="D5" s="7"/>
    </row>
    <row r="6" customFormat="false" ht="15" hidden="false" customHeight="true" outlineLevel="0" collapsed="false">
      <c r="A6" s="7" t="s">
        <v>261</v>
      </c>
      <c r="B6" s="7" t="s">
        <v>262</v>
      </c>
      <c r="C6" s="7" t="s">
        <v>263</v>
      </c>
      <c r="D6" s="7"/>
    </row>
    <row r="7" customFormat="false" ht="15" hidden="false" customHeight="true" outlineLevel="0" collapsed="false">
      <c r="A7" s="7" t="s">
        <v>264</v>
      </c>
      <c r="B7" s="7" t="s">
        <v>265</v>
      </c>
      <c r="C7" s="7" t="s">
        <v>266</v>
      </c>
      <c r="D7" s="7"/>
    </row>
    <row r="8" customFormat="false" ht="15" hidden="false" customHeight="true" outlineLevel="0" collapsed="false">
      <c r="A8" s="7" t="s">
        <v>267</v>
      </c>
      <c r="B8" s="7" t="s">
        <v>268</v>
      </c>
      <c r="C8" s="7" t="s">
        <v>269</v>
      </c>
      <c r="D8" s="7"/>
    </row>
    <row r="9" customFormat="false" ht="15" hidden="false" customHeight="true" outlineLevel="0" collapsed="false">
      <c r="A9" s="7" t="s">
        <v>270</v>
      </c>
      <c r="B9" s="7" t="s">
        <v>271</v>
      </c>
      <c r="C9" s="7" t="s">
        <v>272</v>
      </c>
      <c r="D9" s="7"/>
    </row>
    <row r="10" customFormat="false" ht="15" hidden="false" customHeight="true" outlineLevel="0" collapsed="false">
      <c r="A10" s="7" t="s">
        <v>38</v>
      </c>
      <c r="B10" s="7" t="s">
        <v>273</v>
      </c>
      <c r="C10" s="7" t="s">
        <v>274</v>
      </c>
      <c r="D10" s="7"/>
    </row>
    <row r="11" customFormat="false" ht="15" hidden="false" customHeight="true" outlineLevel="0" collapsed="false">
      <c r="A11" s="7" t="s">
        <v>275</v>
      </c>
      <c r="B11" s="7" t="s">
        <v>276</v>
      </c>
      <c r="C11" s="7" t="s">
        <v>277</v>
      </c>
      <c r="D11" s="7"/>
    </row>
    <row r="12" customFormat="false" ht="15" hidden="false" customHeight="true" outlineLevel="0" collapsed="false">
      <c r="A12" s="7" t="s">
        <v>278</v>
      </c>
      <c r="B12" s="7" t="s">
        <v>279</v>
      </c>
      <c r="C12" s="7" t="s">
        <v>280</v>
      </c>
      <c r="D12" s="7"/>
    </row>
    <row r="13" customFormat="false" ht="15" hidden="false" customHeight="true" outlineLevel="0" collapsed="false">
      <c r="A13" s="7" t="s">
        <v>61</v>
      </c>
      <c r="B13" s="7" t="s">
        <v>281</v>
      </c>
      <c r="C13" s="7" t="s">
        <v>282</v>
      </c>
      <c r="D13" s="7"/>
    </row>
    <row r="14" customFormat="false" ht="15" hidden="false" customHeight="true" outlineLevel="0" collapsed="false">
      <c r="A14" s="7" t="s">
        <v>283</v>
      </c>
      <c r="B14" s="7" t="s">
        <v>284</v>
      </c>
      <c r="C14" s="7" t="s">
        <v>285</v>
      </c>
      <c r="D14" s="7"/>
    </row>
    <row r="15" customFormat="false" ht="15" hidden="false" customHeight="true" outlineLevel="0" collapsed="false">
      <c r="A15" s="7" t="s">
        <v>286</v>
      </c>
      <c r="B15" s="7" t="s">
        <v>287</v>
      </c>
      <c r="C15" s="7" t="s">
        <v>288</v>
      </c>
      <c r="D15" s="7"/>
    </row>
    <row r="16" customFormat="false" ht="15" hidden="false" customHeight="true" outlineLevel="0" collapsed="false">
      <c r="A16" s="7" t="s">
        <v>289</v>
      </c>
      <c r="B16" s="7" t="s">
        <v>290</v>
      </c>
      <c r="C16" s="7" t="s">
        <v>291</v>
      </c>
      <c r="D16" s="7"/>
    </row>
    <row r="17" customFormat="false" ht="15" hidden="false" customHeight="true" outlineLevel="0" collapsed="false">
      <c r="A17" s="7" t="s">
        <v>292</v>
      </c>
      <c r="B17" s="7" t="s">
        <v>293</v>
      </c>
      <c r="C17" s="7" t="s">
        <v>294</v>
      </c>
      <c r="D17" s="7"/>
    </row>
    <row r="18" customFormat="false" ht="15" hidden="false" customHeight="true" outlineLevel="0" collapsed="false">
      <c r="A18" s="7" t="s">
        <v>295</v>
      </c>
      <c r="B18" s="7" t="s">
        <v>296</v>
      </c>
      <c r="C18" s="7" t="s">
        <v>297</v>
      </c>
      <c r="D18" s="7"/>
    </row>
    <row r="19" customFormat="false" ht="15" hidden="false" customHeight="true" outlineLevel="0" collapsed="false">
      <c r="A19" s="7" t="s">
        <v>298</v>
      </c>
      <c r="B19" s="7" t="s">
        <v>299</v>
      </c>
      <c r="C19" s="7" t="s">
        <v>300</v>
      </c>
      <c r="D19" s="7"/>
    </row>
    <row r="20" customFormat="false" ht="15" hidden="false" customHeight="true" outlineLevel="0" collapsed="false">
      <c r="A20" s="7" t="s">
        <v>301</v>
      </c>
      <c r="B20" s="7" t="s">
        <v>302</v>
      </c>
      <c r="C20" s="7" t="s">
        <v>303</v>
      </c>
      <c r="D20" s="7"/>
    </row>
    <row r="21" customFormat="false" ht="15" hidden="false" customHeight="true" outlineLevel="0" collapsed="false">
      <c r="A21" s="7" t="s">
        <v>304</v>
      </c>
      <c r="B21" s="7" t="s">
        <v>305</v>
      </c>
      <c r="C21" s="7" t="s">
        <v>306</v>
      </c>
      <c r="D21" s="7"/>
    </row>
    <row r="22" customFormat="false" ht="15" hidden="false" customHeight="true" outlineLevel="0" collapsed="false">
      <c r="A22" s="7" t="s">
        <v>307</v>
      </c>
      <c r="B22" s="7" t="s">
        <v>308</v>
      </c>
      <c r="C22" s="7" t="s">
        <v>309</v>
      </c>
      <c r="D22" s="7"/>
    </row>
    <row r="23" customFormat="false" ht="15" hidden="false" customHeight="true" outlineLevel="0" collapsed="false">
      <c r="A23" s="7" t="s">
        <v>310</v>
      </c>
      <c r="B23" s="7" t="s">
        <v>311</v>
      </c>
      <c r="C23" s="7" t="s">
        <v>312</v>
      </c>
      <c r="D23" s="7"/>
    </row>
    <row r="24" customFormat="false" ht="15" hidden="false" customHeight="true" outlineLevel="0" collapsed="false">
      <c r="A24" s="7" t="s">
        <v>313</v>
      </c>
      <c r="B24" s="7" t="s">
        <v>314</v>
      </c>
      <c r="C24" s="7" t="s">
        <v>315</v>
      </c>
      <c r="D24" s="7"/>
    </row>
    <row r="25" customFormat="false" ht="15" hidden="false" customHeight="true" outlineLevel="0" collapsed="false">
      <c r="A25" s="7" t="s">
        <v>316</v>
      </c>
      <c r="B25" s="7" t="s">
        <v>317</v>
      </c>
      <c r="C25" s="7" t="s">
        <v>318</v>
      </c>
      <c r="D25" s="7"/>
    </row>
    <row r="26" customFormat="false" ht="15" hidden="false" customHeight="true" outlineLevel="0" collapsed="false">
      <c r="A26" s="7" t="s">
        <v>319</v>
      </c>
      <c r="B26" s="7" t="s">
        <v>320</v>
      </c>
      <c r="C26" s="7" t="s">
        <v>321</v>
      </c>
      <c r="D26" s="7"/>
    </row>
    <row r="27" customFormat="false" ht="15" hidden="false" customHeight="true" outlineLevel="0" collapsed="false">
      <c r="A27" s="7" t="s">
        <v>322</v>
      </c>
      <c r="B27" s="7" t="s">
        <v>323</v>
      </c>
      <c r="C27" s="7" t="s">
        <v>324</v>
      </c>
      <c r="D27" s="7"/>
    </row>
    <row r="28" customFormat="false" ht="26.25" hidden="false" customHeight="true" outlineLevel="0" collapsed="false">
      <c r="A28" s="7" t="s">
        <v>325</v>
      </c>
      <c r="B28" s="7" t="s">
        <v>326</v>
      </c>
      <c r="C28" s="7" t="s">
        <v>327</v>
      </c>
      <c r="D28" s="7"/>
    </row>
    <row r="29" customFormat="false" ht="15" hidden="false" customHeight="true" outlineLevel="0" collapsed="false">
      <c r="A29" s="7" t="s">
        <v>328</v>
      </c>
      <c r="B29" s="7" t="s">
        <v>329</v>
      </c>
      <c r="C29" s="7" t="s">
        <v>330</v>
      </c>
      <c r="D29" s="16"/>
    </row>
    <row r="30" customFormat="false" ht="26.25" hidden="false" customHeight="true" outlineLevel="0" collapsed="false">
      <c r="A30" s="7" t="s">
        <v>331</v>
      </c>
      <c r="B30" s="7" t="s">
        <v>332</v>
      </c>
      <c r="C30" s="7" t="s">
        <v>333</v>
      </c>
      <c r="D30" s="16"/>
    </row>
    <row r="31" customFormat="false" ht="15" hidden="false" customHeight="true" outlineLevel="0" collapsed="false">
      <c r="A31" s="7" t="s">
        <v>334</v>
      </c>
      <c r="B31" s="7" t="s">
        <v>335</v>
      </c>
      <c r="C31" s="7" t="s">
        <v>336</v>
      </c>
      <c r="D31" s="16"/>
    </row>
    <row r="32" customFormat="false" ht="15" hidden="false" customHeight="true" outlineLevel="0" collapsed="false">
      <c r="A32" s="7" t="s">
        <v>337</v>
      </c>
      <c r="B32" s="7" t="s">
        <v>338</v>
      </c>
      <c r="C32" s="7" t="s">
        <v>339</v>
      </c>
      <c r="D32" s="16"/>
    </row>
    <row r="33" customFormat="false" ht="26.25" hidden="false" customHeight="true" outlineLevel="0" collapsed="false">
      <c r="A33" s="7" t="s">
        <v>340</v>
      </c>
      <c r="B33" s="7" t="s">
        <v>341</v>
      </c>
      <c r="C33" s="7" t="s">
        <v>342</v>
      </c>
      <c r="D33" s="16"/>
    </row>
    <row r="34" customFormat="false" ht="15" hidden="false" customHeight="true" outlineLevel="0" collapsed="false">
      <c r="A34" s="7" t="s">
        <v>343</v>
      </c>
      <c r="B34" s="7" t="s">
        <v>344</v>
      </c>
      <c r="C34" s="7" t="s">
        <v>345</v>
      </c>
      <c r="D34" s="16"/>
    </row>
    <row r="35" customFormat="false" ht="26.25" hidden="false" customHeight="true" outlineLevel="0" collapsed="false">
      <c r="A35" s="7" t="s">
        <v>346</v>
      </c>
      <c r="B35" s="7" t="s">
        <v>347</v>
      </c>
      <c r="C35" s="7" t="s">
        <v>348</v>
      </c>
      <c r="D35" s="16"/>
    </row>
    <row r="36" customFormat="false" ht="26.25" hidden="false" customHeight="true" outlineLevel="0" collapsed="false">
      <c r="A36" s="7" t="s">
        <v>349</v>
      </c>
      <c r="B36" s="7" t="s">
        <v>350</v>
      </c>
      <c r="C36" s="7" t="s">
        <v>351</v>
      </c>
      <c r="D36" s="16"/>
    </row>
    <row r="37" customFormat="false" ht="15" hidden="false" customHeight="true" outlineLevel="0" collapsed="false">
      <c r="A37" s="7" t="s">
        <v>352</v>
      </c>
      <c r="B37" s="7" t="s">
        <v>353</v>
      </c>
      <c r="C37" s="7" t="s">
        <v>354</v>
      </c>
      <c r="D37" s="16"/>
    </row>
    <row r="38" customFormat="false" ht="15" hidden="false" customHeight="true" outlineLevel="0" collapsed="false">
      <c r="A38" s="7" t="s">
        <v>355</v>
      </c>
      <c r="B38" s="7" t="s">
        <v>356</v>
      </c>
      <c r="C38" s="7" t="s">
        <v>357</v>
      </c>
      <c r="D38" s="16"/>
    </row>
    <row r="39" customFormat="false" ht="15" hidden="false" customHeight="true" outlineLevel="0" collapsed="false">
      <c r="A39" s="7" t="s">
        <v>358</v>
      </c>
      <c r="B39" s="7" t="s">
        <v>359</v>
      </c>
      <c r="C39" s="7" t="s">
        <v>360</v>
      </c>
      <c r="D39" s="16"/>
    </row>
    <row r="40" customFormat="false" ht="15" hidden="false" customHeight="true" outlineLevel="0" collapsed="false">
      <c r="A40" s="7" t="s">
        <v>361</v>
      </c>
      <c r="B40" s="7" t="s">
        <v>362</v>
      </c>
      <c r="C40" s="7" t="s">
        <v>363</v>
      </c>
      <c r="D40" s="16"/>
    </row>
    <row r="41" customFormat="false" ht="15" hidden="false" customHeight="true" outlineLevel="0" collapsed="false">
      <c r="A41" s="7" t="s">
        <v>364</v>
      </c>
      <c r="B41" s="7" t="s">
        <v>365</v>
      </c>
      <c r="C41" s="7" t="s">
        <v>366</v>
      </c>
      <c r="D41" s="16"/>
    </row>
    <row r="42" customFormat="false" ht="26.25" hidden="false" customHeight="true" outlineLevel="0" collapsed="false">
      <c r="A42" s="7" t="s">
        <v>367</v>
      </c>
      <c r="B42" s="7" t="s">
        <v>368</v>
      </c>
      <c r="C42" s="7" t="s">
        <v>369</v>
      </c>
      <c r="D42" s="16"/>
    </row>
    <row r="43" customFormat="false" ht="15" hidden="false" customHeight="true" outlineLevel="0" collapsed="false">
      <c r="A43" s="7" t="s">
        <v>370</v>
      </c>
      <c r="B43" s="7" t="s">
        <v>371</v>
      </c>
      <c r="C43" s="7" t="s">
        <v>372</v>
      </c>
      <c r="D43" s="16"/>
    </row>
    <row r="44" customFormat="false" ht="15" hidden="false" customHeight="true" outlineLevel="0" collapsed="false">
      <c r="A44" s="7" t="s">
        <v>373</v>
      </c>
      <c r="B44" s="7" t="s">
        <v>374</v>
      </c>
      <c r="C44" s="7" t="s">
        <v>375</v>
      </c>
      <c r="D44" s="16"/>
    </row>
    <row r="45" customFormat="false" ht="26.25" hidden="false" customHeight="true" outlineLevel="0" collapsed="false">
      <c r="A45" s="7" t="s">
        <v>376</v>
      </c>
      <c r="B45" s="7" t="s">
        <v>377</v>
      </c>
      <c r="C45" s="7" t="s">
        <v>378</v>
      </c>
      <c r="D45" s="16"/>
    </row>
    <row r="46" customFormat="false" ht="26.25" hidden="false" customHeight="true" outlineLevel="0" collapsed="false">
      <c r="A46" s="7" t="s">
        <v>379</v>
      </c>
      <c r="B46" s="7" t="s">
        <v>380</v>
      </c>
      <c r="C46" s="7" t="s">
        <v>381</v>
      </c>
      <c r="D46" s="16"/>
    </row>
    <row r="47" customFormat="false" ht="15" hidden="false" customHeight="false" outlineLevel="0" collapsed="false">
      <c r="A47" s="7" t="s">
        <v>382</v>
      </c>
      <c r="B47" s="7" t="s">
        <v>383</v>
      </c>
      <c r="C47" s="7" t="s">
        <v>384</v>
      </c>
      <c r="D4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2026-10-27T16:30:04Z</dcterms:created>
  <dc:creator>openpyxl</dc:creator>
  <dc:description/>
  <dc:language>en-US</dc:language>
  <cp:lastModifiedBy/>
  <dcterms:modified xsi:type="dcterms:W3CDTF">2026-10-29T12:50:48Z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